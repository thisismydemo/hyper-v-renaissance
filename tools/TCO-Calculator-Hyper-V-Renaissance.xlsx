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Inputs" sheetId="2" state="visible" r:id="rId4"/>
    <sheet name="VMware TCO" sheetId="3" state="visible" r:id="rId5"/>
    <sheet name="Azure Local TCO" sheetId="4" state="visible" r:id="rId6"/>
    <sheet name="Hyper-V TCO" sheetId="5" state="visible" r:id="rId7"/>
    <sheet name="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<sst xmlns="http://schemas.openxmlformats.org/spreadsheetml/2006/main" count="179" uniqueCount="137">
  <si>
    <t xml:space="preserve">Hyper-V Renaissance TCO Calculator</t>
  </si>
  <si>
    <t xml:space="preserve">Purpose:</t>
  </si>
  <si>
    <t xml:space="preserve">Compare Total Cost of Ownership across VMware, Azure Local, and Hyper-V.</t>
  </si>
  <si>
    <t xml:space="preserve">How to Use:</t>
  </si>
  <si>
    <t xml:space="preserve">1. Go to 'Inputs' sheet and modify blue cells with your values</t>
  </si>
  <si>
    <t xml:space="preserve">2. Check 'Summary' sheet for side-by-side comparison</t>
  </si>
  <si>
    <t xml:space="preserve">3. Review individual platform sheets for detailed breakdowns</t>
  </si>
  <si>
    <t xml:space="preserve">Color Coding:</t>
  </si>
  <si>
    <t xml:space="preserve">• Blue text = Input cells (editable)</t>
  </si>
  <si>
    <t xml:space="preserve">• Black text = Formulas (calculated)</t>
  </si>
  <si>
    <t xml:space="preserve">• Yellow = Key results</t>
  </si>
  <si>
    <t xml:space="preserve">Disclaimer:</t>
  </si>
  <si>
    <t xml:space="preserve">For planning only. Verify pricing with your vendor.</t>
  </si>
  <si>
    <t xml:space="preserve">Series: The Hyper-V Renaissance</t>
  </si>
  <si>
    <t xml:space="preserve">Repository: github.com/thisismydemo/hyper-v-renaissance</t>
  </si>
  <si>
    <t xml:space="preserve">INFRASTRUCTURE INPUTS</t>
  </si>
  <si>
    <t xml:space="preserve">Number of Hosts</t>
  </si>
  <si>
    <t xml:space="preserve">hosts</t>
  </si>
  <si>
    <t xml:space="preserve">CPUs per Host</t>
  </si>
  <si>
    <t xml:space="preserve">CPUs</t>
  </si>
  <si>
    <t xml:space="preserve">Cores per CPU</t>
  </si>
  <si>
    <t xml:space="preserve">cores</t>
  </si>
  <si>
    <t xml:space="preserve">Windows VMs</t>
  </si>
  <si>
    <t xml:space="preserve">VMs</t>
  </si>
  <si>
    <t xml:space="preserve">Linux VMs</t>
  </si>
  <si>
    <t xml:space="preserve">Users Accessing Servers</t>
  </si>
  <si>
    <t xml:space="preserve">users</t>
  </si>
  <si>
    <t xml:space="preserve">Evaluation Period</t>
  </si>
  <si>
    <t xml:space="preserve">years</t>
  </si>
  <si>
    <t xml:space="preserve">CALCULATED VALUES</t>
  </si>
  <si>
    <t xml:space="preserve">Total Physical Cores</t>
  </si>
  <si>
    <t xml:space="preserve">VMware Licensed Cores (72 min)</t>
  </si>
  <si>
    <t xml:space="preserve">VMware enforces 72-core minimum</t>
  </si>
  <si>
    <t xml:space="preserve">VMWARE PRICING</t>
  </si>
  <si>
    <t xml:space="preserve">VVF Price ($/core/year)</t>
  </si>
  <si>
    <t xml:space="preserve">vSphere Foundation</t>
  </si>
  <si>
    <t xml:space="preserve">VCF Price ($/core/year)</t>
  </si>
  <si>
    <t xml:space="preserve">Cloud Foundation (includes NSX)</t>
  </si>
  <si>
    <t xml:space="preserve">Selected Product (VVF or VCF)</t>
  </si>
  <si>
    <t xml:space="preserve">VVF</t>
  </si>
  <si>
    <t xml:space="preserve">AZURE LOCAL PRICING</t>
  </si>
  <si>
    <t xml:space="preserve">Host Service Fee ($/core/month)</t>
  </si>
  <si>
    <t xml:space="preserve">WS Subscription ($/core/month)</t>
  </si>
  <si>
    <t xml:space="preserve">For Windows guest licensing</t>
  </si>
  <si>
    <t xml:space="preserve">Has Azure Hybrid Benefit? (Yes/No)</t>
  </si>
  <si>
    <t xml:space="preserve">No</t>
  </si>
  <si>
    <t xml:space="preserve">Requires WS Datacenter with active SA</t>
  </si>
  <si>
    <t xml:space="preserve">WINDOWS SERVER PRICING</t>
  </si>
  <si>
    <t xml:space="preserve">WS Datacenter 16-core pack ($)</t>
  </si>
  <si>
    <t xml:space="preserve">List price - adjust for your discount</t>
  </si>
  <si>
    <t xml:space="preserve">WS Datacenter 2-core pack ($)</t>
  </si>
  <si>
    <t xml:space="preserve">Software Assurance Rate (%/year)</t>
  </si>
  <si>
    <t xml:space="preserve">Include Software Assurance? (Yes/No)</t>
  </si>
  <si>
    <t xml:space="preserve">Yes</t>
  </si>
  <si>
    <t xml:space="preserve">User CAL Price ($)</t>
  </si>
  <si>
    <t xml:space="preserve">Device CAL Price ($)</t>
  </si>
  <si>
    <t xml:space="preserve">CAL Type (User or Device)</t>
  </si>
  <si>
    <t xml:space="preserve">User</t>
  </si>
  <si>
    <t xml:space="preserve">Volume Discount (%)</t>
  </si>
  <si>
    <t xml:space="preserve">Your negotiated discount (0-40% typical)</t>
  </si>
  <si>
    <t xml:space="preserve">VMware vSphere/Cloud Foundation TCO</t>
  </si>
  <si>
    <t xml:space="preserve">Configuration</t>
  </si>
  <si>
    <t xml:space="preserve">Licensed Cores</t>
  </si>
  <si>
    <t xml:space="preserve">Per-Core Price</t>
  </si>
  <si>
    <t xml:space="preserve">VMware Annual Subscription</t>
  </si>
  <si>
    <t xml:space="preserve">Windows Server Guest Licensing</t>
  </si>
  <si>
    <t xml:space="preserve">WS Datacenter License (for guests)</t>
  </si>
  <si>
    <t xml:space="preserve">WS SA Annual</t>
  </si>
  <si>
    <t xml:space="preserve">CALs (one-time)</t>
  </si>
  <si>
    <t xml:space="preserve">5-Year TCO</t>
  </si>
  <si>
    <t xml:space="preserve">Component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</si>
  <si>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</si>
  <si>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</si>
  <si>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</si>
  <si>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</si>
  <si>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</si>
  <si>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Total</t>
  </si>
  <si>
    <t xml:space="preserve">VMware Subscription</t>
  </si>
  <si>
    <t xml:space="preserve">WS Datacenter License</t>
  </si>
  <si>
    <t xml:space="preserve">WS Software Assurance</t>
  </si>
  <si>
    <t xml:space="preserve">Windows Server CALs</t>
  </si>
  <si>
    <t xml:space="preserve">TOTAL VMware TCO</t>
  </si>
  <si>
    <t xml:space="preserve">Azure Local TCO</t>
  </si>
  <si>
    <t xml:space="preserve">Total Cores</t>
  </si>
  <si>
    <t xml:space="preserve">Host Fee Annual</t>
  </si>
  <si>
    <t xml:space="preserve">WS Subscription Annual</t>
  </si>
  <si>
    <t xml:space="preserve">Azure Hybrid Benefit?</t>
  </si>
  <si>
    <t xml:space="preserve">WITHOUT Azure Hybrid Benefit</t>
  </si>
  <si>
    <t xml:space="preserve">Azure Local Host Fee</t>
  </si>
  <si>
    <t xml:space="preserve">Windows Server Subscription</t>
  </si>
  <si>
    <t xml:space="preserve">TOTAL (No AHB)</t>
  </si>
  <si>
    <t xml:space="preserve">WITH Azure Hybrid Benefit</t>
  </si>
  <si>
    <t xml:space="preserve">(Host fee and WS subscription waived; SA still required)</t>
  </si>
  <si>
    <t xml:space="preserve">WS Datacenter SA (for AHB eligibility)</t>
  </si>
  <si>
    <t xml:space="preserve">TOTAL (With AHB)</t>
  </si>
  <si>
    <t xml:space="preserve">YOUR AZURE LOCAL TCO</t>
  </si>
  <si>
    <t xml:space="preserve">Windows Server 2025 Hyper-V TCO</t>
  </si>
  <si>
    <t xml:space="preserve">License Calculation</t>
  </si>
  <si>
    <t xml:space="preserve">16-core packs needed</t>
  </si>
  <si>
    <t xml:space="preserve">Additional 2-core packs</t>
  </si>
  <si>
    <t xml:space="preserve">WS Datacenter License (before discount)</t>
  </si>
  <si>
    <t xml:space="preserve">WS Datacenter License (after discount)</t>
  </si>
  <si>
    <t xml:space="preserve">Annual SA</t>
  </si>
  <si>
    <t xml:space="preserve">WITH Software Assurance</t>
  </si>
  <si>
    <t xml:space="preserve">Software Assurance</t>
  </si>
  <si>
    <t xml:space="preserve">TOTAL (With SA)</t>
  </si>
  <si>
    <t xml:space="preserve">WITHOUT Software Assurance</t>
  </si>
  <si>
    <t xml:space="preserve">TOTAL (No SA)</t>
  </si>
  <si>
    <t xml:space="preserve">YOUR HYPER-V TCO</t>
  </si>
  <si>
    <t xml:space="preserve">TCO Comparison Summary</t>
  </si>
  <si>
    <t xml:space="preserve">Your Configuration</t>
  </si>
  <si>
    <t xml:space="preserve">Hosts</t>
  </si>
  <si>
    <t xml:space="preserve">Users</t>
  </si>
  <si>
    <t xml:space="preserve">5-Year TCO Comparison</t>
  </si>
  <si>
    <t xml:space="preserve">Platform</t>
  </si>
  <si>
    <t xml:space="preserve">Annual Avg</t>
  </si>
  <si>
    <t xml:space="preserve">vs Hyper-V</t>
  </si>
  <si>
    <t xml:space="preserve">Notes</t>
  </si>
  <si>
    <t xml:space="preserve">VMware (VVF/VCF)</t>
  </si>
  <si>
    <t xml:space="preserve">Subscription + WS licensing</t>
  </si>
  <si>
    <t xml:space="preserve">Azure Local (no AHB)</t>
  </si>
  <si>
    <t xml:space="preserve">Full subscription pricing</t>
  </si>
  <si>
    <t xml:space="preserve">Azure Local (with AHB)</t>
  </si>
  <si>
    <t xml:space="preserve">Requires existing WS DC + SA</t>
  </si>
  <si>
    <t xml:space="preserve">Hyper-V (with SA)</t>
  </si>
  <si>
    <t xml:space="preserve">Baseline</t>
  </si>
  <si>
    <t xml:space="preserve">Perpetual + maintenance</t>
  </si>
  <si>
    <t xml:space="preserve">Hyper-V (no SA)</t>
  </si>
  <si>
    <t xml:space="preserve">Perpetual only</t>
  </si>
  <si>
    <t xml:space="preserve">Savings Analysis</t>
  </si>
  <si>
    <t xml:space="preserve">5-Year Savings vs VMware</t>
  </si>
  <si>
    <t xml:space="preserve">Annual Savings vs VMware</t>
  </si>
  <si>
    <t xml:space="preserve">Migration ROI</t>
  </si>
  <si>
    <t xml:space="preserve">Estimated Migration Cost</t>
  </si>
  <si>
    <t xml:space="preserve">(edit this)</t>
  </si>
  <si>
    <t xml:space="preserve">Payback Period (months)</t>
  </si>
  <si>
    <t xml:space="preserve">5-Year Net Benefit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</si>
</sst>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\$#,##0"/>
    <numFmt numFmtId="167" formatCode="\+0%;\-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008000"/>
      <name val="Cambria"/>
      <family val="0"/>
      <charset val="1"/>
    </font>
    <font>
      <b val="true"/>
      <sz val="12"/>
      <color rgb="FF008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6DCE4"/>
        <bgColor rgb="FFC0C0C0"/>
      </patternFill>
    </fill>
    <fill>
      <patternFill patternType="solid">
        <fgColor rgb="FF2F5496"/>
        <bgColor rgb="FF666699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0" t="s">
        <v>1</v>
      </c>
    </row>
    <row r="4" customFormat="false" ht="15" hidden="false" customHeight="false" outlineLevel="0" collapsed="false">
      <c r="A4" s="0" t="s">
        <v>2</v>
      </c>
    </row>
    <row r="6" customFormat="false" ht="15" hidden="false" customHeight="false" outlineLevel="0" collapsed="false">
      <c r="A6" s="0" t="s">
        <v>3</v>
      </c>
    </row>
    <row r="7" customFormat="false" ht="15" hidden="false" customHeight="false" outlineLevel="0" collapsed="false">
      <c r="A7" s="0" t="s">
        <v>4</v>
      </c>
    </row>
    <row r="8" customFormat="false" ht="15" hidden="false" customHeight="false" outlineLevel="0" collapsed="false">
      <c r="A8" s="0" t="s">
        <v>5</v>
      </c>
    </row>
    <row r="9" customFormat="false" ht="15" hidden="false" customHeight="false" outlineLevel="0" collapsed="false">
      <c r="A9" s="0" t="s">
        <v>6</v>
      </c>
    </row>
    <row r="11" customFormat="false" ht="15" hidden="false" customHeight="false" outlineLevel="0" collapsed="false">
      <c r="A11" s="0" t="s">
        <v>7</v>
      </c>
    </row>
    <row r="12" customFormat="false" ht="15" hidden="false" customHeight="false" outlineLevel="0" collapsed="false">
      <c r="A12" s="0" t="s">
        <v>8</v>
      </c>
    </row>
    <row r="13" customFormat="false" ht="15" hidden="false" customHeight="false" outlineLevel="0" collapsed="false">
      <c r="A13" s="0" t="s">
        <v>9</v>
      </c>
    </row>
    <row r="14" customFormat="false" ht="15" hidden="false" customHeight="false" outlineLevel="0" collapsed="false">
      <c r="A14" s="0" t="s">
        <v>10</v>
      </c>
    </row>
    <row r="16" customFormat="false" ht="15" hidden="false" customHeight="false" outlineLevel="0" collapsed="false">
      <c r="A16" s="0" t="s">
        <v>11</v>
      </c>
    </row>
    <row r="17" customFormat="false" ht="15" hidden="false" customHeight="false" outlineLevel="0" collapsed="false">
      <c r="A17" s="0" t="s">
        <v>12</v>
      </c>
    </row>
    <row r="19" customFormat="false" ht="15" hidden="false" customHeight="false" outlineLevel="0" collapsed="false">
      <c r="A19" s="0" t="s">
        <v>13</v>
      </c>
    </row>
    <row r="20" customFormat="false" ht="15" hidden="false" customHeight="false" outlineLevel="0" collapsed="false">
      <c r="A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45"/>
  </cols>
  <sheetData>
    <row r="1" customFormat="false" ht="15" hidden="false" customHeight="false" outlineLevel="0" collapsed="false">
      <c r="A1" s="2" t="s">
        <v>15</v>
      </c>
    </row>
    <row r="2" customFormat="false" ht="15" hidden="false" customHeight="false" outlineLevel="0" collapsed="false">
      <c r="A2" s="0" t="s">
        <v>16</v>
      </c>
      <c r="B2" s="3" t="n">
        <v>3</v>
      </c>
      <c r="C2" s="4" t="s">
        <v>17</v>
      </c>
    </row>
    <row r="3" customFormat="false" ht="15" hidden="false" customHeight="false" outlineLevel="0" collapsed="false">
      <c r="A3" s="0" t="s">
        <v>18</v>
      </c>
      <c r="B3" s="3" t="n">
        <v>2</v>
      </c>
      <c r="C3" s="4" t="s">
        <v>19</v>
      </c>
    </row>
    <row r="4" customFormat="false" ht="15" hidden="false" customHeight="false" outlineLevel="0" collapsed="false">
      <c r="A4" s="0" t="s">
        <v>20</v>
      </c>
      <c r="B4" s="3" t="n">
        <v>24</v>
      </c>
      <c r="C4" s="4" t="s">
        <v>21</v>
      </c>
    </row>
    <row r="5" customFormat="false" ht="15" hidden="false" customHeight="false" outlineLevel="0" collapsed="false">
      <c r="A5" s="0" t="s">
        <v>22</v>
      </c>
      <c r="B5" s="3" t="n">
        <v>50</v>
      </c>
      <c r="C5" s="4" t="s">
        <v>23</v>
      </c>
    </row>
    <row r="6" customFormat="false" ht="15" hidden="false" customHeight="false" outlineLevel="0" collapsed="false">
      <c r="A6" s="0" t="s">
        <v>24</v>
      </c>
      <c r="B6" s="3" t="n">
        <v>10</v>
      </c>
      <c r="C6" s="4" t="s">
        <v>23</v>
      </c>
    </row>
    <row r="7" customFormat="false" ht="15" hidden="false" customHeight="false" outlineLevel="0" collapsed="false">
      <c r="A7" s="0" t="s">
        <v>25</v>
      </c>
      <c r="B7" s="3" t="n">
        <v>75</v>
      </c>
      <c r="C7" s="4" t="s">
        <v>26</v>
      </c>
    </row>
    <row r="8" customFormat="false" ht="15" hidden="false" customHeight="false" outlineLevel="0" collapsed="false">
      <c r="A8" s="0" t="s">
        <v>27</v>
      </c>
      <c r="B8" s="3" t="n">
        <v>5</v>
      </c>
      <c r="C8" s="4" t="s">
        <v>28</v>
      </c>
    </row>
    <row r="10" customFormat="false" ht="15" hidden="false" customHeight="false" outlineLevel="0" collapsed="false">
      <c r="A10" s="2" t="s">
        <v>29</v>
      </c>
    </row>
    <row r="11" customFormat="false" ht="15" hidden="false" customHeight="false" outlineLevel="0" collapsed="false">
      <c r="A11" s="0" t="s">
        <v>30</v>
      </c>
      <c r="B11" s="0" t="n">
        <f aca="false">B2*B3*B4</f>
        <v>144</v>
      </c>
      <c r="C11" s="0" t="s">
        <v>21</v>
      </c>
    </row>
    <row r="12" customFormat="false" ht="15" hidden="false" customHeight="false" outlineLevel="0" collapsed="false">
      <c r="A12" s="0" t="s">
        <v>31</v>
      </c>
      <c r="B12" s="0" t="n">
        <f aca="false">MAX(B11,72)</f>
        <v>144</v>
      </c>
      <c r="C12" s="0" t="s">
        <v>21</v>
      </c>
      <c r="D12" s="0" t="s">
        <v>32</v>
      </c>
    </row>
    <row r="14" customFormat="false" ht="15" hidden="false" customHeight="false" outlineLevel="0" collapsed="false">
      <c r="A14" s="2" t="s">
        <v>33</v>
      </c>
    </row>
    <row r="15" customFormat="false" ht="15" hidden="false" customHeight="false" outlineLevel="0" collapsed="false">
      <c r="A15" s="0" t="s">
        <v>34</v>
      </c>
      <c r="B15" s="3" t="n">
        <v>190</v>
      </c>
      <c r="D15" s="4" t="s">
        <v>35</v>
      </c>
    </row>
    <row r="16" customFormat="false" ht="15" hidden="false" customHeight="false" outlineLevel="0" collapsed="false">
      <c r="A16" s="0" t="s">
        <v>36</v>
      </c>
      <c r="B16" s="3" t="n">
        <v>350</v>
      </c>
      <c r="D16" s="4" t="s">
        <v>37</v>
      </c>
    </row>
    <row r="17" customFormat="false" ht="15" hidden="false" customHeight="false" outlineLevel="0" collapsed="false">
      <c r="A17" s="0" t="s">
        <v>38</v>
      </c>
      <c r="B17" s="3" t="s">
        <v>39</v>
      </c>
    </row>
    <row r="19" customFormat="false" ht="15" hidden="false" customHeight="false" outlineLevel="0" collapsed="false">
      <c r="A19" s="2" t="s">
        <v>40</v>
      </c>
    </row>
    <row r="20" customFormat="false" ht="15" hidden="false" customHeight="false" outlineLevel="0" collapsed="false">
      <c r="A20" s="0" t="s">
        <v>41</v>
      </c>
      <c r="B20" s="3" t="n">
        <v>10</v>
      </c>
    </row>
    <row r="21" customFormat="false" ht="15" hidden="false" customHeight="false" outlineLevel="0" collapsed="false">
      <c r="A21" s="0" t="s">
        <v>42</v>
      </c>
      <c r="B21" s="3" t="n">
        <v>23</v>
      </c>
      <c r="D21" s="4" t="s">
        <v>43</v>
      </c>
    </row>
    <row r="22" customFormat="false" ht="15" hidden="false" customHeight="false" outlineLevel="0" collapsed="false">
      <c r="A22" s="0" t="s">
        <v>44</v>
      </c>
      <c r="B22" s="3" t="s">
        <v>45</v>
      </c>
      <c r="D22" s="4" t="s">
        <v>46</v>
      </c>
    </row>
    <row r="24" customFormat="false" ht="15" hidden="false" customHeight="false" outlineLevel="0" collapsed="false">
      <c r="A24" s="2" t="s">
        <v>47</v>
      </c>
    </row>
    <row r="25" customFormat="false" ht="15" hidden="false" customHeight="false" outlineLevel="0" collapsed="false">
      <c r="A25" s="0" t="s">
        <v>48</v>
      </c>
      <c r="B25" s="3" t="n">
        <v>6771</v>
      </c>
      <c r="D25" s="4" t="s">
        <v>49</v>
      </c>
    </row>
    <row r="26" customFormat="false" ht="15" hidden="false" customHeight="false" outlineLevel="0" collapsed="false">
      <c r="A26" s="0" t="s">
        <v>50</v>
      </c>
      <c r="B26" s="3" t="n">
        <v>847</v>
      </c>
    </row>
    <row r="27" customFormat="false" ht="15" hidden="false" customHeight="false" outlineLevel="0" collapsed="false">
      <c r="A27" s="0" t="s">
        <v>51</v>
      </c>
      <c r="B27" s="5" t="n">
        <v>0.2</v>
      </c>
    </row>
    <row r="28" customFormat="false" ht="15" hidden="false" customHeight="false" outlineLevel="0" collapsed="false">
      <c r="A28" s="0" t="s">
        <v>52</v>
      </c>
      <c r="B28" s="3" t="s">
        <v>53</v>
      </c>
    </row>
    <row r="29" customFormat="false" ht="15" hidden="false" customHeight="false" outlineLevel="0" collapsed="false">
      <c r="A29" s="0" t="s">
        <v>54</v>
      </c>
      <c r="B29" s="3" t="n">
        <v>46</v>
      </c>
    </row>
    <row r="30" customFormat="false" ht="15" hidden="false" customHeight="false" outlineLevel="0" collapsed="false">
      <c r="A30" s="0" t="s">
        <v>55</v>
      </c>
      <c r="B30" s="3" t="n">
        <v>38</v>
      </c>
    </row>
    <row r="31" customFormat="false" ht="15" hidden="false" customHeight="false" outlineLevel="0" collapsed="false">
      <c r="A31" s="0" t="s">
        <v>56</v>
      </c>
      <c r="B31" s="3" t="s">
        <v>57</v>
      </c>
    </row>
    <row r="32" customFormat="false" ht="15" hidden="false" customHeight="false" outlineLevel="0" collapsed="false">
      <c r="A32" s="0" t="s">
        <v>58</v>
      </c>
      <c r="B32" s="5" t="n">
        <v>0.15</v>
      </c>
      <c r="D32" s="4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5"/>
  </cols>
  <sheetData>
    <row r="1" customFormat="false" ht="17.35" hidden="false" customHeight="false" outlineLevel="0" collapsed="false">
      <c r="A1" s="6" t="s">
        <v>60</v>
      </c>
    </row>
    <row r="3" customFormat="false" ht="15" hidden="false" customHeight="false" outlineLevel="0" collapsed="false">
      <c r="A3" s="2" t="s">
        <v>61</v>
      </c>
    </row>
    <row r="4" customFormat="false" ht="15" hidden="false" customHeight="false" outlineLevel="0" collapsed="false">
      <c r="A4" s="0" t="s">
        <v>62</v>
      </c>
      <c r="B4" s="0" t="n">
        <f aca="false">Inputs!B12</f>
        <v>144</v>
      </c>
    </row>
    <row r="5" customFormat="false" ht="15" hidden="false" customHeight="false" outlineLevel="0" collapsed="false">
      <c r="A5" s="0" t="s">
        <v>63</v>
      </c>
      <c r="B5" s="7" t="n">
        <f aca="false">IF(Inputs!B17="VCF",Inputs!B16,Inputs!B15)</f>
        <v>190</v>
      </c>
    </row>
    <row r="6" customFormat="false" ht="15" hidden="false" customHeight="false" outlineLevel="0" collapsed="false">
      <c r="A6" s="0" t="s">
        <v>64</v>
      </c>
      <c r="B6" s="7" t="n">
        <f aca="false">B4*B5</f>
        <v>27360</v>
      </c>
    </row>
    <row r="8" customFormat="false" ht="15" hidden="false" customHeight="false" outlineLevel="0" collapsed="false">
      <c r="A8" s="2" t="s">
        <v>65</v>
      </c>
    </row>
    <row r="9" customFormat="false" ht="15" hidden="false" customHeight="false" outlineLevel="0" collapsed="false">
      <c r="A9" s="0" t="s">
        <v>66</v>
      </c>
      <c r="B9" s="7" t="n">
        <f aca="false">'Hyper-V TCO'!B7</f>
        <v>60979</v>
      </c>
    </row>
    <row r="10" customFormat="false" ht="15" hidden="false" customHeight="false" outlineLevel="0" collapsed="false">
      <c r="A10" s="0" t="s">
        <v>67</v>
      </c>
      <c r="B10" s="7" t="n">
        <f aca="false">B9*Inputs!B27</f>
        <v>12195.8</v>
      </c>
    </row>
    <row r="11" customFormat="false" ht="15" hidden="false" customHeight="false" outlineLevel="0" collapsed="false">
      <c r="A11" s="0" t="s">
        <v>68</v>
      </c>
      <c r="B11" s="7" t="n">
        <f aca="false">IF(Inputs!B31="User",Inputs!B7*Inputs!B29,Inputs!B7*Inputs!B30)</f>
        <v>3450</v>
      </c>
    </row>
    <row r="13" customFormat="false" ht="15" hidden="false" customHeight="false" outlineLevel="0" collapsed="false">
      <c r="A13" s="2" t="s">
        <v>69</v>
      </c>
    </row>
    <row r="14" customFormat="false" ht="15" hidden="false" customHeight="false" outlineLevel="0" collapsed="false">
      <c r="A14" s="8" t="s">
        <v>70</v>
      </c>
      <c r="B14" s="8" t="s">
        <v>71</v>
      </c>
      <c r="C14" s="8" t="s">
        <v>72</v>
      </c>
      <c r="D14" s="8" t="s">
        <v>73</v>
      </c>
      <c r="E14" s="8" t="s">
        <v>74</v>
      </c>
      <c r="F14" s="8" t="s">
        <v>75</v>
      </c>
      <c r="G14" s="8" t="s">
        <v>76</v>
      </c>
    </row>
    <row r="15" customFormat="false" ht="15" hidden="false" customHeight="false" outlineLevel="0" collapsed="false">
      <c r="A15" s="0" t="s">
        <v>77</v>
      </c>
      <c r="B15" s="7" t="n">
        <f aca="false">B6</f>
        <v>27360</v>
      </c>
      <c r="C15" s="7" t="n">
        <f aca="false">B6</f>
        <v>27360</v>
      </c>
      <c r="D15" s="7" t="n">
        <f aca="false">B6</f>
        <v>27360</v>
      </c>
      <c r="E15" s="7" t="n">
        <f aca="false">B6</f>
        <v>27360</v>
      </c>
      <c r="F15" s="7" t="n">
        <f aca="false">B6</f>
        <v>27360</v>
      </c>
      <c r="G15" s="7" t="n">
        <f aca="false">SUM(B15:F15)</f>
        <v>136800</v>
      </c>
    </row>
    <row r="16" customFormat="false" ht="15" hidden="false" customHeight="false" outlineLevel="0" collapsed="false">
      <c r="A16" s="0" t="s">
        <v>78</v>
      </c>
      <c r="B16" s="7" t="n">
        <f aca="false">B9</f>
        <v>60979</v>
      </c>
      <c r="C16" s="0" t="n">
        <v>0</v>
      </c>
      <c r="D16" s="0" t="n">
        <v>0</v>
      </c>
      <c r="E16" s="0" t="n">
        <v>0</v>
      </c>
      <c r="F16" s="0" t="n">
        <v>0</v>
      </c>
      <c r="G16" s="7" t="n">
        <f aca="false">SUM(B16:F16)</f>
        <v>60979</v>
      </c>
    </row>
    <row r="17" customFormat="false" ht="15" hidden="false" customHeight="false" outlineLevel="0" collapsed="false">
      <c r="A17" s="0" t="s">
        <v>79</v>
      </c>
      <c r="B17" s="7" t="n">
        <f aca="false">B10</f>
        <v>12195.8</v>
      </c>
      <c r="C17" s="7" t="n">
        <f aca="false">B10</f>
        <v>12195.8</v>
      </c>
      <c r="D17" s="7" t="n">
        <f aca="false">B10</f>
        <v>12195.8</v>
      </c>
      <c r="E17" s="7" t="n">
        <f aca="false">B10</f>
        <v>12195.8</v>
      </c>
      <c r="F17" s="7" t="n">
        <f aca="false">B10</f>
        <v>12195.8</v>
      </c>
      <c r="G17" s="7" t="n">
        <f aca="false">SUM(B17:F17)</f>
        <v>60979</v>
      </c>
    </row>
    <row r="18" customFormat="false" ht="15" hidden="false" customHeight="false" outlineLevel="0" collapsed="false">
      <c r="A18" s="0" t="s">
        <v>80</v>
      </c>
      <c r="B18" s="7" t="n">
        <f aca="false">B11</f>
        <v>3450</v>
      </c>
      <c r="C18" s="0" t="n">
        <v>0</v>
      </c>
      <c r="D18" s="0" t="n">
        <v>0</v>
      </c>
      <c r="E18" s="0" t="n">
        <v>0</v>
      </c>
      <c r="F18" s="0" t="n">
        <v>0</v>
      </c>
      <c r="G18" s="7" t="n">
        <f aca="false">SUM(B18:F18)</f>
        <v>3450</v>
      </c>
    </row>
    <row r="19" customFormat="false" ht="15" hidden="false" customHeight="false" outlineLevel="0" collapsed="false">
      <c r="A19" s="9" t="s">
        <v>81</v>
      </c>
      <c r="B19" s="10" t="n">
        <f aca="false">SUM(B15:B18)</f>
        <v>103984.8</v>
      </c>
      <c r="C19" s="10" t="n">
        <f aca="false">SUM(C15:C18)</f>
        <v>39555.8</v>
      </c>
      <c r="D19" s="10" t="n">
        <f aca="false">SUM(D15:D18)</f>
        <v>39555.8</v>
      </c>
      <c r="E19" s="10" t="n">
        <f aca="false">SUM(E15:E18)</f>
        <v>39555.8</v>
      </c>
      <c r="F19" s="10" t="n">
        <f aca="false">SUM(F15:F18)</f>
        <v>39555.8</v>
      </c>
      <c r="G19" s="11" t="n">
        <f aca="false">SUM(G15:G18)</f>
        <v>262208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5"/>
  </cols>
  <sheetData>
    <row r="1" customFormat="false" ht="17.35" hidden="false" customHeight="false" outlineLevel="0" collapsed="false">
      <c r="A1" s="6" t="s">
        <v>82</v>
      </c>
    </row>
    <row r="3" customFormat="false" ht="15" hidden="false" customHeight="false" outlineLevel="0" collapsed="false">
      <c r="A3" s="2" t="s">
        <v>61</v>
      </c>
    </row>
    <row r="4" customFormat="false" ht="15" hidden="false" customHeight="false" outlineLevel="0" collapsed="false">
      <c r="A4" s="0" t="s">
        <v>83</v>
      </c>
      <c r="B4" s="0" t="n">
        <f aca="false">Inputs!B11</f>
        <v>144</v>
      </c>
    </row>
    <row r="5" customFormat="false" ht="15" hidden="false" customHeight="false" outlineLevel="0" collapsed="false">
      <c r="A5" s="0" t="s">
        <v>84</v>
      </c>
      <c r="B5" s="7" t="n">
        <f aca="false">B4*Inputs!B20*12</f>
        <v>17280</v>
      </c>
    </row>
    <row r="6" customFormat="false" ht="15" hidden="false" customHeight="false" outlineLevel="0" collapsed="false">
      <c r="A6" s="0" t="s">
        <v>85</v>
      </c>
      <c r="B6" s="7" t="n">
        <f aca="false">B4*Inputs!B21*12</f>
        <v>39744</v>
      </c>
    </row>
    <row r="7" customFormat="false" ht="15" hidden="false" customHeight="false" outlineLevel="0" collapsed="false">
      <c r="A7" s="0" t="s">
        <v>86</v>
      </c>
      <c r="B7" s="0" t="str">
        <f aca="false">Inputs!B22</f>
        <v>No</v>
      </c>
    </row>
    <row r="9" customFormat="false" ht="15" hidden="false" customHeight="false" outlineLevel="0" collapsed="false">
      <c r="A9" s="2" t="s">
        <v>87</v>
      </c>
    </row>
    <row r="10" customFormat="false" ht="15" hidden="false" customHeight="false" outlineLevel="0" collapsed="false">
      <c r="A10" s="8" t="s">
        <v>70</v>
      </c>
      <c r="B10" s="8" t="s">
        <v>71</v>
      </c>
      <c r="C10" s="8" t="s">
        <v>72</v>
      </c>
      <c r="D10" s="8" t="s">
        <v>73</v>
      </c>
      <c r="E10" s="8" t="s">
        <v>74</v>
      </c>
      <c r="F10" s="8" t="s">
        <v>75</v>
      </c>
      <c r="G10" s="8" t="s">
        <v>76</v>
      </c>
    </row>
    <row r="11" customFormat="false" ht="15" hidden="false" customHeight="false" outlineLevel="0" collapsed="false">
      <c r="A11" s="0" t="s">
        <v>88</v>
      </c>
      <c r="B11" s="7" t="n">
        <f aca="false">$B$5</f>
        <v>17280</v>
      </c>
      <c r="C11" s="7" t="n">
        <f aca="false">$B$5</f>
        <v>17280</v>
      </c>
      <c r="D11" s="7" t="n">
        <f aca="false">$B$5</f>
        <v>17280</v>
      </c>
      <c r="E11" s="7" t="n">
        <f aca="false">$B$5</f>
        <v>17280</v>
      </c>
      <c r="F11" s="7" t="n">
        <f aca="false">$B$5</f>
        <v>17280</v>
      </c>
      <c r="G11" s="7" t="n">
        <f aca="false">SUM(B11:F11)</f>
        <v>86400</v>
      </c>
    </row>
    <row r="12" customFormat="false" ht="15" hidden="false" customHeight="false" outlineLevel="0" collapsed="false">
      <c r="A12" s="0" t="s">
        <v>89</v>
      </c>
      <c r="B12" s="7" t="n">
        <f aca="false">$B$6</f>
        <v>39744</v>
      </c>
      <c r="C12" s="7" t="n">
        <f aca="false">$B$6</f>
        <v>39744</v>
      </c>
      <c r="D12" s="7" t="n">
        <f aca="false">$B$6</f>
        <v>39744</v>
      </c>
      <c r="E12" s="7" t="n">
        <f aca="false">$B$6</f>
        <v>39744</v>
      </c>
      <c r="F12" s="7" t="n">
        <f aca="false">$B$6</f>
        <v>39744</v>
      </c>
      <c r="G12" s="7" t="n">
        <f aca="false">SUM(B12:F12)</f>
        <v>198720</v>
      </c>
    </row>
    <row r="13" customFormat="false" ht="15" hidden="false" customHeight="false" outlineLevel="0" collapsed="false">
      <c r="A13" s="9" t="s">
        <v>90</v>
      </c>
      <c r="B13" s="10" t="n">
        <f aca="false">SUM(B11:B12)</f>
        <v>57024</v>
      </c>
      <c r="C13" s="10" t="n">
        <f aca="false">SUM(C11:C12)</f>
        <v>57024</v>
      </c>
      <c r="D13" s="10" t="n">
        <f aca="false">SUM(D11:D12)</f>
        <v>57024</v>
      </c>
      <c r="E13" s="10" t="n">
        <f aca="false">SUM(E11:E12)</f>
        <v>57024</v>
      </c>
      <c r="F13" s="10" t="n">
        <f aca="false">SUM(F11:F12)</f>
        <v>57024</v>
      </c>
      <c r="G13" s="11" t="n">
        <f aca="false">SUM(G11:G12)</f>
        <v>285120</v>
      </c>
    </row>
    <row r="15" customFormat="false" ht="15" hidden="false" customHeight="false" outlineLevel="0" collapsed="false">
      <c r="A15" s="2" t="s">
        <v>91</v>
      </c>
    </row>
    <row r="16" customFormat="false" ht="15" hidden="false" customHeight="false" outlineLevel="0" collapsed="false">
      <c r="A16" s="0" t="s">
        <v>92</v>
      </c>
    </row>
    <row r="17" customFormat="false" ht="15" hidden="false" customHeight="false" outlineLevel="0" collapsed="false">
      <c r="A17" s="8" t="s">
        <v>70</v>
      </c>
      <c r="B17" s="8" t="s">
        <v>71</v>
      </c>
      <c r="C17" s="8" t="s">
        <v>72</v>
      </c>
      <c r="D17" s="8" t="s">
        <v>73</v>
      </c>
      <c r="E17" s="8" t="s">
        <v>74</v>
      </c>
      <c r="F17" s="8" t="s">
        <v>75</v>
      </c>
      <c r="G17" s="8" t="s">
        <v>76</v>
      </c>
    </row>
    <row r="18" customFormat="false" ht="15" hidden="false" customHeight="false" outlineLevel="0" collapsed="false">
      <c r="A18" s="0" t="s">
        <v>93</v>
      </c>
      <c r="B18" s="7" t="n">
        <f aca="false">'Hyper-V TCO'!B7*Inputs!B27</f>
        <v>12195.8</v>
      </c>
      <c r="C18" s="7" t="n">
        <f aca="false">'Hyper-V TCO'!B7*Inputs!B27</f>
        <v>12195.8</v>
      </c>
      <c r="D18" s="7" t="n">
        <f aca="false">'Hyper-V TCO'!B7*Inputs!B27</f>
        <v>12195.8</v>
      </c>
      <c r="E18" s="7" t="n">
        <f aca="false">'Hyper-V TCO'!B7*Inputs!B27</f>
        <v>12195.8</v>
      </c>
      <c r="F18" s="7" t="n">
        <f aca="false">'Hyper-V TCO'!B7*Inputs!B27</f>
        <v>12195.8</v>
      </c>
      <c r="G18" s="7" t="n">
        <f aca="false">SUM(B18:F18)</f>
        <v>60979</v>
      </c>
    </row>
    <row r="19" customFormat="false" ht="15" hidden="false" customHeight="false" outlineLevel="0" collapsed="false">
      <c r="A19" s="9" t="s">
        <v>94</v>
      </c>
      <c r="B19" s="10" t="n">
        <f aca="false">B18</f>
        <v>12195.8</v>
      </c>
      <c r="C19" s="10" t="n">
        <f aca="false">C18</f>
        <v>12195.8</v>
      </c>
      <c r="D19" s="10" t="n">
        <f aca="false">D18</f>
        <v>12195.8</v>
      </c>
      <c r="E19" s="10" t="n">
        <f aca="false">E18</f>
        <v>12195.8</v>
      </c>
      <c r="F19" s="10" t="n">
        <f aca="false">F18</f>
        <v>12195.8</v>
      </c>
      <c r="G19" s="11" t="n">
        <f aca="false">G18</f>
        <v>60979</v>
      </c>
    </row>
    <row r="21" customFormat="false" ht="15" hidden="false" customHeight="false" outlineLevel="0" collapsed="false">
      <c r="A21" s="12" t="s">
        <v>95</v>
      </c>
      <c r="B21" s="13" t="n">
        <f aca="false">IF(B7="Yes",G19,G13)</f>
        <v>285120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5"/>
  </cols>
  <sheetData>
    <row r="1" customFormat="false" ht="17.35" hidden="false" customHeight="false" outlineLevel="0" collapsed="false">
      <c r="A1" s="6" t="s">
        <v>96</v>
      </c>
    </row>
    <row r="3" customFormat="false" ht="15" hidden="false" customHeight="false" outlineLevel="0" collapsed="false">
      <c r="A3" s="2" t="s">
        <v>97</v>
      </c>
    </row>
    <row r="4" customFormat="false" ht="15" hidden="false" customHeight="false" outlineLevel="0" collapsed="false">
      <c r="A4" s="0" t="s">
        <v>83</v>
      </c>
      <c r="B4" s="0" t="n">
        <f aca="false">Inputs!B11</f>
        <v>144</v>
      </c>
    </row>
    <row r="5" customFormat="false" ht="15" hidden="false" customHeight="false" outlineLevel="0" collapsed="false">
      <c r="A5" s="0" t="s">
        <v>98</v>
      </c>
      <c r="B5" s="0" t="n">
        <f aca="false">CEILING(B4/16,1)</f>
        <v>9</v>
      </c>
    </row>
    <row r="6" customFormat="false" ht="15" hidden="false" customHeight="false" outlineLevel="0" collapsed="false">
      <c r="A6" s="0" t="s">
        <v>99</v>
      </c>
      <c r="B6" s="0" t="n">
        <f aca="false">MAX(0,CEILING((B4-16)/2,1)-0)</f>
        <v>64</v>
      </c>
    </row>
    <row r="7" customFormat="false" ht="15" hidden="false" customHeight="false" outlineLevel="0" collapsed="false">
      <c r="A7" s="0" t="s">
        <v>100</v>
      </c>
      <c r="B7" s="7" t="n">
        <f aca="false">IF(B4&lt;=16,Inputs!B25,Inputs!B25+B6*Inputs!B26)</f>
        <v>60979</v>
      </c>
    </row>
    <row r="8" customFormat="false" ht="15" hidden="false" customHeight="false" outlineLevel="0" collapsed="false">
      <c r="A8" s="0" t="s">
        <v>101</v>
      </c>
      <c r="B8" s="7" t="n">
        <f aca="false">B7*(1-Inputs!B32)</f>
        <v>51832.15</v>
      </c>
    </row>
    <row r="9" customFormat="false" ht="15" hidden="false" customHeight="false" outlineLevel="0" collapsed="false">
      <c r="A9" s="0" t="s">
        <v>102</v>
      </c>
      <c r="B9" s="7" t="n">
        <f aca="false">B8*Inputs!B27</f>
        <v>10366.43</v>
      </c>
    </row>
    <row r="10" customFormat="false" ht="15" hidden="false" customHeight="false" outlineLevel="0" collapsed="false">
      <c r="A10" s="0" t="s">
        <v>68</v>
      </c>
      <c r="B10" s="7" t="n">
        <f aca="false">IF(Inputs!B31="User",Inputs!B7*Inputs!B29,Inputs!B7*Inputs!B30)</f>
        <v>3450</v>
      </c>
    </row>
    <row r="12" customFormat="false" ht="15" hidden="false" customHeight="false" outlineLevel="0" collapsed="false">
      <c r="A12" s="2" t="s">
        <v>103</v>
      </c>
    </row>
    <row r="13" customFormat="false" ht="15" hidden="false" customHeight="false" outlineLevel="0" collapsed="false">
      <c r="A13" s="8" t="s">
        <v>70</v>
      </c>
      <c r="B13" s="8" t="s">
        <v>71</v>
      </c>
      <c r="C13" s="8" t="s">
        <v>72</v>
      </c>
      <c r="D13" s="8" t="s">
        <v>73</v>
      </c>
      <c r="E13" s="8" t="s">
        <v>74</v>
      </c>
      <c r="F13" s="8" t="s">
        <v>75</v>
      </c>
      <c r="G13" s="8" t="s">
        <v>76</v>
      </c>
    </row>
    <row r="14" customFormat="false" ht="15" hidden="false" customHeight="false" outlineLevel="0" collapsed="false">
      <c r="A14" s="0" t="s">
        <v>78</v>
      </c>
      <c r="B14" s="7" t="n">
        <f aca="false">$B$8</f>
        <v>51832.15</v>
      </c>
      <c r="C14" s="0" t="n">
        <v>0</v>
      </c>
      <c r="D14" s="0" t="n">
        <v>0</v>
      </c>
      <c r="E14" s="0" t="n">
        <v>0</v>
      </c>
      <c r="F14" s="0" t="n">
        <v>0</v>
      </c>
      <c r="G14" s="7" t="n">
        <f aca="false">SUM(B14:F14)</f>
        <v>51832.15</v>
      </c>
    </row>
    <row r="15" customFormat="false" ht="15" hidden="false" customHeight="false" outlineLevel="0" collapsed="false">
      <c r="A15" s="0" t="s">
        <v>104</v>
      </c>
      <c r="B15" s="7" t="n">
        <f aca="false">$B$9</f>
        <v>10366.43</v>
      </c>
      <c r="C15" s="7" t="n">
        <f aca="false">$B$9</f>
        <v>10366.43</v>
      </c>
      <c r="D15" s="7" t="n">
        <f aca="false">$B$9</f>
        <v>10366.43</v>
      </c>
      <c r="E15" s="7" t="n">
        <f aca="false">$B$9</f>
        <v>10366.43</v>
      </c>
      <c r="F15" s="7" t="n">
        <f aca="false">$B$9</f>
        <v>10366.43</v>
      </c>
      <c r="G15" s="7" t="n">
        <f aca="false">SUM(B15:F15)</f>
        <v>51832.15</v>
      </c>
    </row>
    <row r="16" customFormat="false" ht="15" hidden="false" customHeight="false" outlineLevel="0" collapsed="false">
      <c r="A16" s="0" t="s">
        <v>80</v>
      </c>
      <c r="B16" s="7" t="n">
        <f aca="false">$B$10</f>
        <v>3450</v>
      </c>
      <c r="C16" s="0" t="n">
        <v>0</v>
      </c>
      <c r="D16" s="0" t="n">
        <v>0</v>
      </c>
      <c r="E16" s="0" t="n">
        <v>0</v>
      </c>
      <c r="F16" s="0" t="n">
        <v>0</v>
      </c>
      <c r="G16" s="7" t="n">
        <f aca="false">SUM(B16:F16)</f>
        <v>3450</v>
      </c>
    </row>
    <row r="17" customFormat="false" ht="15" hidden="false" customHeight="false" outlineLevel="0" collapsed="false">
      <c r="A17" s="9" t="s">
        <v>105</v>
      </c>
      <c r="B17" s="10" t="n">
        <f aca="false">SUM(B14:B16)</f>
        <v>65648.58</v>
      </c>
      <c r="C17" s="10" t="n">
        <f aca="false">SUM(C14:C16)</f>
        <v>10366.43</v>
      </c>
      <c r="D17" s="10" t="n">
        <f aca="false">SUM(D14:D16)</f>
        <v>10366.43</v>
      </c>
      <c r="E17" s="10" t="n">
        <f aca="false">SUM(E14:E16)</f>
        <v>10366.43</v>
      </c>
      <c r="F17" s="10" t="n">
        <f aca="false">SUM(F14:F16)</f>
        <v>10366.43</v>
      </c>
      <c r="G17" s="11" t="n">
        <f aca="false">SUM(G14:G16)</f>
        <v>107114.3</v>
      </c>
    </row>
    <row r="19" customFormat="false" ht="15" hidden="false" customHeight="false" outlineLevel="0" collapsed="false">
      <c r="A19" s="2" t="s">
        <v>106</v>
      </c>
    </row>
    <row r="20" customFormat="false" ht="15" hidden="false" customHeight="false" outlineLevel="0" collapsed="false">
      <c r="A20" s="8" t="s">
        <v>70</v>
      </c>
      <c r="B20" s="8" t="s">
        <v>71</v>
      </c>
      <c r="C20" s="8" t="s">
        <v>72</v>
      </c>
      <c r="D20" s="8" t="s">
        <v>73</v>
      </c>
      <c r="E20" s="8" t="s">
        <v>74</v>
      </c>
      <c r="F20" s="8" t="s">
        <v>75</v>
      </c>
      <c r="G20" s="8" t="s">
        <v>76</v>
      </c>
    </row>
    <row r="21" customFormat="false" ht="15" hidden="false" customHeight="false" outlineLevel="0" collapsed="false">
      <c r="A21" s="0" t="s">
        <v>78</v>
      </c>
      <c r="B21" s="7" t="n">
        <f aca="false">$B$8</f>
        <v>51832.15</v>
      </c>
      <c r="C21" s="0" t="n">
        <v>0</v>
      </c>
      <c r="D21" s="0" t="n">
        <v>0</v>
      </c>
      <c r="E21" s="0" t="n">
        <v>0</v>
      </c>
      <c r="F21" s="0" t="n">
        <v>0</v>
      </c>
      <c r="G21" s="7" t="n">
        <f aca="false">SUM(B21:F21)</f>
        <v>51832.15</v>
      </c>
    </row>
    <row r="22" customFormat="false" ht="15" hidden="false" customHeight="false" outlineLevel="0" collapsed="false">
      <c r="A22" s="0" t="s">
        <v>80</v>
      </c>
      <c r="B22" s="7" t="n">
        <f aca="false">$B$10</f>
        <v>3450</v>
      </c>
      <c r="C22" s="0" t="n">
        <v>0</v>
      </c>
      <c r="D22" s="0" t="n">
        <v>0</v>
      </c>
      <c r="E22" s="0" t="n">
        <v>0</v>
      </c>
      <c r="F22" s="0" t="n">
        <v>0</v>
      </c>
      <c r="G22" s="7" t="n">
        <f aca="false">SUM(B22:F22)</f>
        <v>3450</v>
      </c>
    </row>
    <row r="23" customFormat="false" ht="15" hidden="false" customHeight="false" outlineLevel="0" collapsed="false">
      <c r="A23" s="9" t="s">
        <v>107</v>
      </c>
      <c r="B23" s="10" t="n">
        <f aca="false">SUM(B21:B22)</f>
        <v>55282.15</v>
      </c>
      <c r="C23" s="10" t="n">
        <f aca="false">SUM(C21:C22)</f>
        <v>0</v>
      </c>
      <c r="D23" s="10" t="n">
        <f aca="false">SUM(D21:D22)</f>
        <v>0</v>
      </c>
      <c r="E23" s="10" t="n">
        <f aca="false">SUM(E21:E22)</f>
        <v>0</v>
      </c>
      <c r="F23" s="10" t="n">
        <f aca="false">SUM(F21:F22)</f>
        <v>0</v>
      </c>
      <c r="G23" s="11" t="n">
        <f aca="false">SUM(G21:G22)</f>
        <v>55282.15</v>
      </c>
    </row>
    <row r="25" customFormat="false" ht="15" hidden="false" customHeight="false" outlineLevel="0" collapsed="false">
      <c r="A25" s="12" t="s">
        <v>108</v>
      </c>
      <c r="B25" s="13" t="n">
        <f aca="false">IF(Inputs!B28="Yes",G17,G23)</f>
        <v>107114.3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4" min="2" style="0" width="18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109</v>
      </c>
    </row>
    <row r="3" customFormat="false" ht="15" hidden="false" customHeight="false" outlineLevel="0" collapsed="false">
      <c r="A3" s="2" t="s">
        <v>110</v>
      </c>
    </row>
    <row r="4" customFormat="false" ht="15" hidden="false" customHeight="false" outlineLevel="0" collapsed="false">
      <c r="A4" s="0" t="s">
        <v>111</v>
      </c>
      <c r="B4" s="0" t="n">
        <f aca="false">Inputs!B2</f>
        <v>3</v>
      </c>
    </row>
    <row r="5" customFormat="false" ht="15" hidden="false" customHeight="false" outlineLevel="0" collapsed="false">
      <c r="A5" s="0" t="s">
        <v>83</v>
      </c>
      <c r="B5" s="0" t="n">
        <f aca="false">Inputs!B11</f>
        <v>144</v>
      </c>
    </row>
    <row r="6" customFormat="false" ht="15" hidden="false" customHeight="false" outlineLevel="0" collapsed="false">
      <c r="A6" s="0" t="s">
        <v>22</v>
      </c>
      <c r="B6" s="0" t="n">
        <f aca="false">Inputs!B5</f>
        <v>50</v>
      </c>
    </row>
    <row r="7" customFormat="false" ht="15" hidden="false" customHeight="false" outlineLevel="0" collapsed="false">
      <c r="A7" s="0" t="s">
        <v>112</v>
      </c>
      <c r="B7" s="0" t="n">
        <f aca="false">Inputs!B7</f>
        <v>75</v>
      </c>
    </row>
    <row r="8" customFormat="false" ht="15" hidden="false" customHeight="false" outlineLevel="0" collapsed="false">
      <c r="A8" s="0" t="s">
        <v>27</v>
      </c>
      <c r="B8" s="0" t="str">
        <f aca="false">Inputs!B8&amp;" years"</f>
        <v>5 years</v>
      </c>
    </row>
    <row r="10" customFormat="false" ht="15" hidden="false" customHeight="false" outlineLevel="0" collapsed="false">
      <c r="A10" s="2" t="s">
        <v>113</v>
      </c>
    </row>
    <row r="11" customFormat="false" ht="15" hidden="false" customHeight="false" outlineLevel="0" collapsed="false">
      <c r="A11" s="8" t="s">
        <v>114</v>
      </c>
      <c r="B11" s="8" t="s">
        <v>69</v>
      </c>
      <c r="C11" s="8" t="s">
        <v>115</v>
      </c>
      <c r="D11" s="8" t="s">
        <v>116</v>
      </c>
      <c r="E11" s="8" t="s">
        <v>117</v>
      </c>
    </row>
    <row r="12" customFormat="false" ht="15" hidden="false" customHeight="false" outlineLevel="0" collapsed="false">
      <c r="A12" s="0" t="s">
        <v>118</v>
      </c>
      <c r="B12" s="7" t="n">
        <f aca="false">'VMware TCO'!G19</f>
        <v>262208</v>
      </c>
      <c r="C12" s="7" t="n">
        <f aca="false">B12/Inputs!B8</f>
        <v>52441.6</v>
      </c>
      <c r="D12" s="14" t="n">
        <f aca="false">(B12-B15)/B15</f>
        <v>1.44792712084194</v>
      </c>
      <c r="E12" s="4" t="s">
        <v>119</v>
      </c>
    </row>
    <row r="13" customFormat="false" ht="15" hidden="false" customHeight="false" outlineLevel="0" collapsed="false">
      <c r="A13" s="0" t="s">
        <v>120</v>
      </c>
      <c r="B13" s="7" t="n">
        <f aca="false">'Azure Local TCO'!G13</f>
        <v>285120</v>
      </c>
      <c r="C13" s="7" t="n">
        <f aca="false">B13/Inputs!B8</f>
        <v>57024</v>
      </c>
      <c r="D13" s="14" t="n">
        <f aca="false">(B13-B15)/B15</f>
        <v>1.66182946628041</v>
      </c>
      <c r="E13" s="4" t="s">
        <v>121</v>
      </c>
    </row>
    <row r="14" customFormat="false" ht="15" hidden="false" customHeight="false" outlineLevel="0" collapsed="false">
      <c r="A14" s="0" t="s">
        <v>122</v>
      </c>
      <c r="B14" s="7" t="n">
        <f aca="false">'Azure Local TCO'!G19</f>
        <v>60979</v>
      </c>
      <c r="C14" s="7" t="n">
        <f aca="false">B14/Inputs!B8</f>
        <v>12195.8</v>
      </c>
      <c r="D14" s="14" t="n">
        <f aca="false">(B14-B15)/B15</f>
        <v>-0.430710932153783</v>
      </c>
      <c r="E14" s="4" t="s">
        <v>123</v>
      </c>
    </row>
    <row r="15" customFormat="false" ht="15" hidden="false" customHeight="false" outlineLevel="0" collapsed="false">
      <c r="A15" s="9" t="s">
        <v>124</v>
      </c>
      <c r="B15" s="15" t="n">
        <f aca="false">'Hyper-V TCO'!G17</f>
        <v>107114.3</v>
      </c>
      <c r="C15" s="15" t="n">
        <f aca="false">B15/Inputs!B8</f>
        <v>21422.86</v>
      </c>
      <c r="D15" s="9" t="s">
        <v>125</v>
      </c>
      <c r="E15" s="4" t="s">
        <v>126</v>
      </c>
    </row>
    <row r="16" customFormat="false" ht="15" hidden="false" customHeight="false" outlineLevel="0" collapsed="false">
      <c r="A16" s="0" t="s">
        <v>127</v>
      </c>
      <c r="B16" s="7" t="n">
        <f aca="false">'Hyper-V TCO'!G23</f>
        <v>55282.15</v>
      </c>
      <c r="C16" s="7" t="n">
        <f aca="false">B16/Inputs!B8</f>
        <v>11056.43</v>
      </c>
      <c r="D16" s="14" t="n">
        <f aca="false">(B16-B15)/B15</f>
        <v>-0.483895707669284</v>
      </c>
      <c r="E16" s="4" t="s">
        <v>128</v>
      </c>
    </row>
    <row r="18" customFormat="false" ht="15" hidden="false" customHeight="false" outlineLevel="0" collapsed="false">
      <c r="A18" s="2" t="s">
        <v>129</v>
      </c>
    </row>
    <row r="19" customFormat="false" ht="15" hidden="false" customHeight="false" outlineLevel="0" collapsed="false">
      <c r="A19" s="0" t="s">
        <v>130</v>
      </c>
      <c r="B19" s="16" t="n">
        <f aca="false">B12-B15</f>
        <v>155093.7</v>
      </c>
    </row>
    <row r="20" customFormat="false" ht="15" hidden="false" customHeight="false" outlineLevel="0" collapsed="false">
      <c r="A20" s="0" t="s">
        <v>131</v>
      </c>
      <c r="B20" s="16" t="n">
        <f aca="false">B19/Inputs!B8</f>
        <v>31018.74</v>
      </c>
    </row>
    <row r="22" customFormat="false" ht="15" hidden="false" customHeight="false" outlineLevel="0" collapsed="false">
      <c r="A22" s="2" t="s">
        <v>132</v>
      </c>
    </row>
    <row r="23" customFormat="false" ht="15" hidden="false" customHeight="false" outlineLevel="0" collapsed="false">
      <c r="A23" s="0" t="s">
        <v>133</v>
      </c>
      <c r="B23" s="17" t="n">
        <v>12000</v>
      </c>
      <c r="C23" s="4" t="s">
        <v>134</v>
      </c>
    </row>
    <row r="24" customFormat="false" ht="15" hidden="false" customHeight="false" outlineLevel="0" collapsed="false">
      <c r="A24" s="0" t="s">
        <v>135</v>
      </c>
      <c r="B24" s="0" t="n">
        <f aca="false">IF(B20&gt;0,ROUND(B23/(B20/12),1),0)</f>
        <v>4.6</v>
      </c>
    </row>
    <row r="25" customFormat="false" ht="15" hidden="false" customHeight="false" outlineLevel="0" collapsed="false">
      <c r="A25" s="0" t="s">
        <v>136</v>
      </c>
      <c r="B25" s="18" t="n">
        <f aca="false">B19-B23</f>
        <v>143093.7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2026-02-06T13:33:56Z</dcterms:created>
  <dc:creator>openpyxl</dc:creator>
  <dc:description/>
  <dc:language>en-US</dc:language>
  <cp:lastModifiedBy/>
  <dcterms:modified xsi:type="dcterms:W3CDTF">2026-02-06T13:33:56Z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