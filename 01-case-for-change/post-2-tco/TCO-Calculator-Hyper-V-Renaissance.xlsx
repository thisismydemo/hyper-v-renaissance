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\thisismydemo-hyper-v-renaissance\01-case-for-change\post-2-tco\"/>
    </mc:Choice>
  </mc:AlternateContent>
  <xr:revisionPtr revIDLastSave="0" documentId="13_ncr:1_{C36A1FF4-5E1D-4A2F-B6B8-941DAE3D0CFE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Instructions" sheetId="1" r:id="rId1"/>
    <sheet name="Inputs" sheetId="2" r:id="rId2"/>
    <sheet name="VMware TCO" sheetId="3" r:id="rId3"/>
    <sheet name="Azure Local TCO" sheetId="4" r:id="rId4"/>
    <sheet name="Hyper-V TCO" sheetId="5" r:id="rId5"/>
    <sheet name="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6" l="1"/>
  <c r="B39" i="2"/>
  <c r="B8" i="6"/>
  <c r="B7" i="6"/>
  <c r="B6" i="6"/>
  <c r="B4" i="6"/>
  <c r="F24" i="5"/>
  <c r="E24" i="5"/>
  <c r="D24" i="5"/>
  <c r="C24" i="5"/>
  <c r="B10" i="5"/>
  <c r="B17" i="5" s="1"/>
  <c r="G17" i="5" s="1"/>
  <c r="B7" i="4"/>
  <c r="B11" i="3"/>
  <c r="B19" i="3" s="1"/>
  <c r="G19" i="3" s="1"/>
  <c r="B5" i="3"/>
  <c r="B12" i="2"/>
  <c r="B4" i="3" s="1"/>
  <c r="B6" i="3" s="1"/>
  <c r="B11" i="2"/>
  <c r="B4" i="5" s="1"/>
  <c r="B5" i="5" l="1"/>
  <c r="B6" i="5"/>
  <c r="B7" i="5" s="1"/>
  <c r="C16" i="3"/>
  <c r="B16" i="3"/>
  <c r="F16" i="3"/>
  <c r="E16" i="3"/>
  <c r="D16" i="3"/>
  <c r="B4" i="4"/>
  <c r="B23" i="5"/>
  <c r="G23" i="5" s="1"/>
  <c r="B5" i="6"/>
  <c r="B8" i="5" l="1"/>
  <c r="C18" i="4"/>
  <c r="C19" i="4" s="1"/>
  <c r="B9" i="3"/>
  <c r="B18" i="4"/>
  <c r="F18" i="4"/>
  <c r="F19" i="4" s="1"/>
  <c r="D18" i="4"/>
  <c r="D19" i="4" s="1"/>
  <c r="E18" i="4"/>
  <c r="E19" i="4" s="1"/>
  <c r="B6" i="4"/>
  <c r="B5" i="4"/>
  <c r="G16" i="3"/>
  <c r="B10" i="3" l="1"/>
  <c r="B17" i="3"/>
  <c r="B22" i="5"/>
  <c r="B15" i="5"/>
  <c r="B9" i="5"/>
  <c r="C11" i="4"/>
  <c r="F11" i="4"/>
  <c r="E11" i="4"/>
  <c r="E13" i="4" s="1"/>
  <c r="D11" i="4"/>
  <c r="B11" i="4"/>
  <c r="D12" i="4"/>
  <c r="C12" i="4"/>
  <c r="B12" i="4"/>
  <c r="G12" i="4" s="1"/>
  <c r="F12" i="4"/>
  <c r="E12" i="4"/>
  <c r="G18" i="4"/>
  <c r="G19" i="4" s="1"/>
  <c r="B14" i="6" s="1"/>
  <c r="B19" i="4"/>
  <c r="G11" i="4" l="1"/>
  <c r="G13" i="4" s="1"/>
  <c r="B13" i="4"/>
  <c r="C13" i="4"/>
  <c r="G15" i="5"/>
  <c r="G17" i="3"/>
  <c r="D18" i="3"/>
  <c r="D20" i="3" s="1"/>
  <c r="B18" i="3"/>
  <c r="F18" i="3"/>
  <c r="F20" i="3" s="1"/>
  <c r="C18" i="3"/>
  <c r="C20" i="3" s="1"/>
  <c r="E18" i="3"/>
  <c r="E20" i="3" s="1"/>
  <c r="D13" i="4"/>
  <c r="F13" i="4"/>
  <c r="E16" i="5"/>
  <c r="E18" i="5" s="1"/>
  <c r="C16" i="5"/>
  <c r="C18" i="5" s="1"/>
  <c r="F16" i="5"/>
  <c r="F18" i="5" s="1"/>
  <c r="D16" i="5"/>
  <c r="D18" i="5" s="1"/>
  <c r="B16" i="5"/>
  <c r="G16" i="5" s="1"/>
  <c r="C14" i="6"/>
  <c r="G22" i="5"/>
  <c r="G24" i="5" s="1"/>
  <c r="B16" i="6" s="1"/>
  <c r="B24" i="5"/>
  <c r="G18" i="5" l="1"/>
  <c r="C16" i="6"/>
  <c r="G18" i="3"/>
  <c r="G20" i="3" s="1"/>
  <c r="B12" i="6" s="1"/>
  <c r="B20" i="3"/>
  <c r="B18" i="5"/>
  <c r="B13" i="6"/>
  <c r="B21" i="4"/>
  <c r="C12" i="6" l="1"/>
  <c r="C13" i="6"/>
  <c r="B15" i="6"/>
  <c r="B26" i="5"/>
  <c r="C15" i="6" l="1"/>
  <c r="D14" i="6"/>
  <c r="D16" i="6"/>
  <c r="D13" i="6"/>
  <c r="D12" i="6"/>
  <c r="B19" i="6"/>
  <c r="B25" i="6" l="1"/>
  <c r="B20" i="6"/>
  <c r="B24" i="6" s="1"/>
</calcChain>
</file>

<file path=xl/sharedStrings.xml><?xml version="1.0" encoding="utf-8"?>
<sst xmlns="http://schemas.openxmlformats.org/spreadsheetml/2006/main" count="205" uniqueCount="161">
  <si>
    <t>Hyper-V Renaissance TCO Calculator</t>
  </si>
  <si>
    <t>Purpose:</t>
  </si>
  <si>
    <t>Compare Total Cost of Ownership across VMware, Azure Local, and Hyper-V.</t>
  </si>
  <si>
    <t>How to Use:</t>
  </si>
  <si>
    <t>1. Go to 'Inputs' sheet and modify blue cells with your values</t>
  </si>
  <si>
    <t>2. Check 'Summary' sheet for side-by-side comparison</t>
  </si>
  <si>
    <t>3. Review individual platform sheets for detailed breakdowns</t>
  </si>
  <si>
    <t>Color Coding:</t>
  </si>
  <si>
    <t>• Blue text = Input cells (editable)</t>
  </si>
  <si>
    <t>• Black text = Formulas (calculated)</t>
  </si>
  <si>
    <t>• Yellow = Key results</t>
  </si>
  <si>
    <t>Disclaimer:</t>
  </si>
  <si>
    <t>For planning only. Verify pricing with your vendor.</t>
  </si>
  <si>
    <t>Series: The Hyper-V Renaissance</t>
  </si>
  <si>
    <t>Repository: github.com/thisismydemo/hyper-v-renaissance</t>
  </si>
  <si>
    <t>INFRASTRUCTURE INPUTS</t>
  </si>
  <si>
    <t>Number of Hosts</t>
  </si>
  <si>
    <t>hosts</t>
  </si>
  <si>
    <t>CPUs per Host</t>
  </si>
  <si>
    <t>CPUs</t>
  </si>
  <si>
    <t>Cores per CPU</t>
  </si>
  <si>
    <t>cores</t>
  </si>
  <si>
    <t>Windows VMs</t>
  </si>
  <si>
    <t>VMs</t>
  </si>
  <si>
    <t>Linux VMs</t>
  </si>
  <si>
    <t>Users Accessing Servers</t>
  </si>
  <si>
    <t>users</t>
  </si>
  <si>
    <t>Evaluation Period</t>
  </si>
  <si>
    <t>years</t>
  </si>
  <si>
    <t>CALCULATED VALUES</t>
  </si>
  <si>
    <t>Total Physical Cores</t>
  </si>
  <si>
    <t>VMware Licensed Cores (72 min)</t>
  </si>
  <si>
    <t>VMware enforces 72-core minimum</t>
  </si>
  <si>
    <t>VMWARE PRICING</t>
  </si>
  <si>
    <t>VVF Price ($/core/year)</t>
  </si>
  <si>
    <t>vSphere Foundation</t>
  </si>
  <si>
    <t>VCF Price ($/core/year)</t>
  </si>
  <si>
    <t>Cloud Foundation (includes NSX)</t>
  </si>
  <si>
    <t>Selected Product (VVF or VCF)</t>
  </si>
  <si>
    <t>VVF</t>
  </si>
  <si>
    <t>AZURE LOCAL PRICING</t>
  </si>
  <si>
    <t>Host Service Fee ($/core/month)</t>
  </si>
  <si>
    <t>WS Subscription ($/core/month)</t>
  </si>
  <si>
    <t>For Windows guest licensing</t>
  </si>
  <si>
    <t>Has Azure Hybrid Benefit? (Yes/No)</t>
  </si>
  <si>
    <t>No</t>
  </si>
  <si>
    <t>Requires WS Datacenter with active SA</t>
  </si>
  <si>
    <t>WINDOWS SERVER PRICING</t>
  </si>
  <si>
    <t>WS Datacenter 16-core pack ($)</t>
  </si>
  <si>
    <t>List price - adjust for your discount</t>
  </si>
  <si>
    <t>WS Datacenter 2-core pack ($)</t>
  </si>
  <si>
    <t>Software Assurance Rate (%/year)</t>
  </si>
  <si>
    <t>Include Software Assurance? (Yes/No)</t>
  </si>
  <si>
    <t>Yes</t>
  </si>
  <si>
    <t>User CAL Price ($)</t>
  </si>
  <si>
    <t>Device CAL Price ($)</t>
  </si>
  <si>
    <t>CAL Type (User or Device)</t>
  </si>
  <si>
    <t>User</t>
  </si>
  <si>
    <t>Volume Discount (%)</t>
  </si>
  <si>
    <t>Your negotiated discount (0-40% typical)</t>
  </si>
  <si>
    <t>VMware vSphere/Cloud Foundation TCO</t>
  </si>
  <si>
    <t>Configuration</t>
  </si>
  <si>
    <t>Licensed Cores</t>
  </si>
  <si>
    <t>Per-Core Price</t>
  </si>
  <si>
    <t>VMware Annual Subscription</t>
  </si>
  <si>
    <t>Windows Server Guest Licensing</t>
  </si>
  <si>
    <t>WS Datacenter License (for guests)</t>
  </si>
  <si>
    <t>WS SA Annual</t>
  </si>
  <si>
    <t>CALs (one-time)</t>
  </si>
  <si>
    <t>5-Year TCO</t>
  </si>
  <si>
    <t>Component</t>
  </si>
  <si>
    <t>Year 1</t>
  </si>
  <si>
    <t>Year 2</t>
  </si>
  <si>
    <t>Year 3</t>
  </si>
  <si>
    <t>Year 4</t>
  </si>
  <si>
    <t>Year 5</t>
  </si>
  <si>
    <t>Total</t>
  </si>
  <si>
    <t>VMware Subscription</t>
  </si>
  <si>
    <t>WS Datacenter License</t>
  </si>
  <si>
    <t>WS Software Assurance</t>
  </si>
  <si>
    <t>Windows Server CALs</t>
  </si>
  <si>
    <t>TOTAL VMware TCO</t>
  </si>
  <si>
    <t>Azure Local TCO</t>
  </si>
  <si>
    <t>Total Cores</t>
  </si>
  <si>
    <t>Host Fee Annual</t>
  </si>
  <si>
    <t>WS Subscription Annual</t>
  </si>
  <si>
    <t>Azure Hybrid Benefit?</t>
  </si>
  <si>
    <t>WITHOUT Azure Hybrid Benefit</t>
  </si>
  <si>
    <t>Azure Local Host Fee</t>
  </si>
  <si>
    <t>Windows Server Subscription</t>
  </si>
  <si>
    <t>TOTAL (No AHB)</t>
  </si>
  <si>
    <t>WITH Azure Hybrid Benefit</t>
  </si>
  <si>
    <t>(Host fee and WS subscription waived; SA still required)</t>
  </si>
  <si>
    <t>WS Datacenter SA (for AHB eligibility)</t>
  </si>
  <si>
    <t>TOTAL (With AHB)</t>
  </si>
  <si>
    <t>YOUR AZURE LOCAL TCO</t>
  </si>
  <si>
    <t>Windows Server 2025 Hyper-V TCO</t>
  </si>
  <si>
    <t>License Calculation</t>
  </si>
  <si>
    <t>16-core packs needed</t>
  </si>
  <si>
    <t>Additional 2-core packs</t>
  </si>
  <si>
    <t>WS Datacenter License (before discount)</t>
  </si>
  <si>
    <t>WS Datacenter License (after discount)</t>
  </si>
  <si>
    <t>Annual SA</t>
  </si>
  <si>
    <t>WITH Software Assurance</t>
  </si>
  <si>
    <t>Software Assurance</t>
  </si>
  <si>
    <t>TOTAL (With SA)</t>
  </si>
  <si>
    <t>WITHOUT Software Assurance</t>
  </si>
  <si>
    <t>TOTAL (No SA)</t>
  </si>
  <si>
    <t>YOUR HYPER-V TCO</t>
  </si>
  <si>
    <t>TCO Comparison Summary</t>
  </si>
  <si>
    <t>Your Configuration</t>
  </si>
  <si>
    <t>Hosts</t>
  </si>
  <si>
    <t>Users</t>
  </si>
  <si>
    <t>5-Year TCO Comparison</t>
  </si>
  <si>
    <t>Platform</t>
  </si>
  <si>
    <t>Annual Avg</t>
  </si>
  <si>
    <t>vs Hyper-V</t>
  </si>
  <si>
    <t>Notes</t>
  </si>
  <si>
    <t>VMware (VVF/VCF)</t>
  </si>
  <si>
    <t>Subscription + WS licensing</t>
  </si>
  <si>
    <t>Azure Local (no AHB)</t>
  </si>
  <si>
    <t>Full subscription pricing</t>
  </si>
  <si>
    <t>Azure Local (with AHB)</t>
  </si>
  <si>
    <t>Requires existing WS DC + SA</t>
  </si>
  <si>
    <t>Hyper-V (with SA)</t>
  </si>
  <si>
    <t>Baseline</t>
  </si>
  <si>
    <t>Perpetual + maintenance</t>
  </si>
  <si>
    <t>Hyper-V (no SA)</t>
  </si>
  <si>
    <t>Perpetual only</t>
  </si>
  <si>
    <t>Savings Analysis</t>
  </si>
  <si>
    <t>5-Year Savings vs VMware</t>
  </si>
  <si>
    <t>Annual Savings vs VMware</t>
  </si>
  <si>
    <t>Migration ROI</t>
  </si>
  <si>
    <t>Estimated Migration Cost</t>
  </si>
  <si>
    <t>Payback Period (months)</t>
  </si>
  <si>
    <t>5-Year Net Benefit</t>
  </si>
  <si>
    <t>Management Tools (WAC)</t>
  </si>
  <si>
    <t>Windows Admin Center is free</t>
  </si>
  <si>
    <t>Management Tools (vCenter)</t>
  </si>
  <si>
    <t>Included in VVF/VCF subscription</t>
  </si>
  <si>
    <t>MIGRATION COSTS</t>
  </si>
  <si>
    <t>Migration Labor (days)</t>
  </si>
  <si>
    <t>days</t>
  </si>
  <si>
    <t>Estimate: 2-5 days per host for planning/execution</t>
  </si>
  <si>
    <t>Labor Day Rate ($)</t>
  </si>
  <si>
    <t>$/day</t>
  </si>
  <si>
    <t>Blended rate for internal/contractor</t>
  </si>
  <si>
    <t>Migration Tools &amp; Software ($)</t>
  </si>
  <si>
    <t>$</t>
  </si>
  <si>
    <t>StarWind, free tools, etc.</t>
  </si>
  <si>
    <t>Training &amp; Enablement ($)</t>
  </si>
  <si>
    <t>WS2025/Hyper-V training for team</t>
  </si>
  <si>
    <t>CALCULATED MIGRATION COST</t>
  </si>
  <si>
    <t>(calculated from Inputs sheet)</t>
  </si>
  <si>
    <t>Additional Costs (not included above — estimate separately)</t>
  </si>
  <si>
    <t>Backup Solution</t>
  </si>
  <si>
    <t>Veeam/DPM/Azure Backup — vendor-specific; same cost across platforms</t>
  </si>
  <si>
    <t>Monitoring</t>
  </si>
  <si>
    <t>SCOM/Azure Monitor/3rd party — same cost across platforms</t>
  </si>
  <si>
    <t>Hardware Refresh</t>
  </si>
  <si>
    <t>Not included — assumes existing hardware reuse (see Post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</si>
</sst>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\+0%;\-0%"/>
  </numFmts>
  <fonts count="9" x14ac:knownFonts="1">
    <font>
      <sz val="11"/>
      <color theme="1"/>
      <name val="Calibri"/>
      <family val="2"/>
      <charset val="1"/>
    </font>
    <font>
      <b/>
      <sz val="16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b/>
      <sz val="14"/>
      <name val="Cambria"/>
      <charset val="1"/>
    </font>
    <font>
      <b/>
      <sz val="12"/>
      <color rgb="FFFFFFFF"/>
      <name val="Cambria"/>
      <charset val="1"/>
    </font>
    <font>
      <b/>
      <sz val="12"/>
      <name val="Cambria"/>
      <charset val="1"/>
    </font>
    <font>
      <b/>
      <sz val="11"/>
      <color rgb="FF008000"/>
      <name val="Cambria"/>
      <charset val="1"/>
    </font>
    <font>
      <b/>
      <sz val="12"/>
      <color rgb="FF008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C0C0C0"/>
      </patternFill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5" fontId="0" fillId="0" borderId="0" xfId="0" applyNumberFormat="1"/>
    <xf numFmtId="0" fontId="5" fillId="3" borderId="0" xfId="0" applyFont="1" applyFill="1"/>
    <xf numFmtId="0" fontId="2" fillId="0" borderId="0" xfId="0" applyFont="1"/>
    <xf numFmtId="165" fontId="2" fillId="0" borderId="0" xfId="0" applyNumberFormat="1" applyFont="1"/>
    <xf numFmtId="165" fontId="2" fillId="4" borderId="0" xfId="0" applyNumberFormat="1" applyFont="1" applyFill="1"/>
    <xf numFmtId="0" fontId="6" fillId="0" borderId="0" xfId="0" applyFont="1"/>
    <xf numFmtId="165" fontId="6" fillId="4" borderId="0" xfId="0" applyNumberFormat="1" applyFont="1" applyFill="1"/>
    <xf numFmtId="166" fontId="0" fillId="0" borderId="0" xfId="0" applyNumberFormat="1"/>
    <xf numFmtId="165" fontId="0" fillId="4" borderId="0" xfId="0" applyNumberFormat="1" applyFill="1"/>
    <xf numFmtId="165" fontId="7" fillId="0" borderId="0" xfId="0" applyNumberFormat="1" applyFont="1"/>
    <xf numFmtId="165" fontId="3" fillId="0" borderId="0" xfId="0" applyNumberFormat="1" applyFont="1"/>
    <xf numFmtId="165" fontId="8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zoomScaleNormal="100" workbookViewId="0"/>
  </sheetViews>
  <sheetFormatPr defaultColWidth="8.7109375" defaultRowHeight="15" x14ac:dyDescent="0.25"/>
  <cols>
    <col min="1" max="1" width="80" customWidth="1"/>
  </cols>
  <sheetData>
    <row r="1" spans="1:1" ht="20.2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zoomScaleNormal="100" workbookViewId="0"/>
  </sheetViews>
  <sheetFormatPr defaultColWidth="8.7109375" defaultRowHeight="15" x14ac:dyDescent="0.25"/>
  <cols>
    <col min="1" max="1" width="40" customWidth="1"/>
    <col min="2" max="2" width="18" customWidth="1"/>
    <col min="3" max="3" width="12" customWidth="1"/>
    <col min="4" max="4" width="45" customWidth="1"/>
  </cols>
  <sheetData>
    <row r="1" spans="1:4" x14ac:dyDescent="0.25">
      <c r="A1" s="2" t="s">
        <v>15</v>
      </c>
    </row>
    <row r="2" spans="1:4" x14ac:dyDescent="0.25">
      <c r="A2" t="s">
        <v>16</v>
      </c>
      <c r="B2" s="3">
        <v>3</v>
      </c>
      <c r="C2" t="s">
        <v>17</v>
      </c>
    </row>
    <row r="3" spans="1:4" x14ac:dyDescent="0.25">
      <c r="A3" t="s">
        <v>18</v>
      </c>
      <c r="B3" s="3">
        <v>2</v>
      </c>
      <c r="C3" t="s">
        <v>19</v>
      </c>
    </row>
    <row r="4" spans="1:4" x14ac:dyDescent="0.25">
      <c r="A4" t="s">
        <v>20</v>
      </c>
      <c r="B4" s="3">
        <v>24</v>
      </c>
      <c r="C4" t="s">
        <v>21</v>
      </c>
    </row>
    <row r="5" spans="1:4" x14ac:dyDescent="0.25">
      <c r="A5" t="s">
        <v>22</v>
      </c>
      <c r="B5" s="3">
        <v>50</v>
      </c>
      <c r="C5" t="s">
        <v>23</v>
      </c>
    </row>
    <row r="6" spans="1:4" x14ac:dyDescent="0.25">
      <c r="A6" t="s">
        <v>24</v>
      </c>
      <c r="B6" s="3">
        <v>10</v>
      </c>
      <c r="C6" t="s">
        <v>23</v>
      </c>
    </row>
    <row r="7" spans="1:4" x14ac:dyDescent="0.25">
      <c r="A7" t="s">
        <v>25</v>
      </c>
      <c r="B7" s="3">
        <v>75</v>
      </c>
      <c r="C7" t="s">
        <v>26</v>
      </c>
    </row>
    <row r="8" spans="1:4" x14ac:dyDescent="0.25">
      <c r="A8" t="s">
        <v>27</v>
      </c>
      <c r="B8" s="3">
        <v>5</v>
      </c>
      <c r="C8" t="s">
        <v>28</v>
      </c>
    </row>
    <row r="10" spans="1:4" x14ac:dyDescent="0.25">
      <c r="A10" s="2" t="s">
        <v>29</v>
      </c>
    </row>
    <row r="11" spans="1:4" x14ac:dyDescent="0.25">
      <c r="A11" t="s">
        <v>30</v>
      </c>
      <c r="B11">
        <f>B2*B3*B4</f>
        <v>144</v>
      </c>
      <c r="C11" t="s">
        <v>21</v>
      </c>
    </row>
    <row r="12" spans="1:4" x14ac:dyDescent="0.25">
      <c r="A12" t="s">
        <v>31</v>
      </c>
      <c r="B12">
        <f>MAX(B11,72)</f>
        <v>144</v>
      </c>
      <c r="C12" t="s">
        <v>21</v>
      </c>
      <c r="D12" t="s">
        <v>32</v>
      </c>
    </row>
    <row r="14" spans="1:4" x14ac:dyDescent="0.25">
      <c r="A14" s="2" t="s">
        <v>33</v>
      </c>
    </row>
    <row r="15" spans="1:4" x14ac:dyDescent="0.25">
      <c r="A15" t="s">
        <v>34</v>
      </c>
      <c r="B15" s="3">
        <v>190</v>
      </c>
      <c r="D15" t="s">
        <v>35</v>
      </c>
    </row>
    <row r="16" spans="1:4" x14ac:dyDescent="0.25">
      <c r="A16" t="s">
        <v>36</v>
      </c>
      <c r="B16" s="3">
        <v>350</v>
      </c>
      <c r="D16" t="s">
        <v>37</v>
      </c>
    </row>
    <row r="17" spans="1:4" x14ac:dyDescent="0.25">
      <c r="A17" t="s">
        <v>38</v>
      </c>
      <c r="B17" s="3" t="s">
        <v>39</v>
      </c>
    </row>
    <row r="19" spans="1:4" x14ac:dyDescent="0.25">
      <c r="A19" s="2" t="s">
        <v>40</v>
      </c>
    </row>
    <row r="20" spans="1:4" x14ac:dyDescent="0.25">
      <c r="A20" t="s">
        <v>41</v>
      </c>
      <c r="B20" s="3">
        <v>10</v>
      </c>
    </row>
    <row r="21" spans="1:4" x14ac:dyDescent="0.25">
      <c r="A21" t="s">
        <v>42</v>
      </c>
      <c r="B21" s="3">
        <v>23</v>
      </c>
      <c r="D21" t="s">
        <v>43</v>
      </c>
    </row>
    <row r="22" spans="1:4" x14ac:dyDescent="0.25">
      <c r="A22" t="s">
        <v>44</v>
      </c>
      <c r="B22" s="3" t="s">
        <v>45</v>
      </c>
      <c r="D22" t="s">
        <v>46</v>
      </c>
    </row>
    <row r="24" spans="1:4" x14ac:dyDescent="0.25">
      <c r="A24" s="2" t="s">
        <v>47</v>
      </c>
    </row>
    <row r="25" spans="1:4" x14ac:dyDescent="0.25">
      <c r="A25" t="s">
        <v>48</v>
      </c>
      <c r="B25" s="3">
        <v>6771</v>
      </c>
      <c r="D25" t="s">
        <v>49</v>
      </c>
    </row>
    <row r="26" spans="1:4" x14ac:dyDescent="0.25">
      <c r="A26" t="s">
        <v>50</v>
      </c>
      <c r="B26" s="3">
        <v>847</v>
      </c>
    </row>
    <row r="27" spans="1:4" x14ac:dyDescent="0.25">
      <c r="A27" t="s">
        <v>51</v>
      </c>
      <c r="B27" s="4">
        <v>0.2</v>
      </c>
    </row>
    <row r="28" spans="1:4" x14ac:dyDescent="0.25">
      <c r="A28" t="s">
        <v>52</v>
      </c>
      <c r="B28" s="3" t="s">
        <v>53</v>
      </c>
    </row>
    <row r="29" spans="1:4" x14ac:dyDescent="0.25">
      <c r="A29" t="s">
        <v>54</v>
      </c>
      <c r="B29" s="3">
        <v>46</v>
      </c>
    </row>
    <row r="30" spans="1:4" x14ac:dyDescent="0.25">
      <c r="A30" t="s">
        <v>55</v>
      </c>
      <c r="B30" s="3">
        <v>38</v>
      </c>
    </row>
    <row r="31" spans="1:4" x14ac:dyDescent="0.25">
      <c r="A31" t="s">
        <v>56</v>
      </c>
      <c r="B31" s="3" t="s">
        <v>57</v>
      </c>
    </row>
    <row r="32" spans="1:4" x14ac:dyDescent="0.25">
      <c r="A32" t="s">
        <v>58</v>
      </c>
      <c r="B32" s="4">
        <v>0.15</v>
      </c>
      <c r="D32" t="s">
        <v>59</v>
      </c>
    </row>
    <row r="34" spans="1:4" x14ac:dyDescent="0.25">
      <c r="A34" t="s">
        <v>140</v>
      </c>
    </row>
    <row r="35" spans="1:4" x14ac:dyDescent="0.25">
      <c r="A35" t="s">
        <v>141</v>
      </c>
      <c r="B35">
        <v>20</v>
      </c>
      <c r="C35" t="s">
        <v>142</v>
      </c>
      <c r="D35" t="s">
        <v>143</v>
      </c>
    </row>
    <row r="36" spans="1:4" x14ac:dyDescent="0.25">
      <c r="A36" t="s">
        <v>144</v>
      </c>
      <c r="B36">
        <v>1500</v>
      </c>
      <c r="C36" t="s">
        <v>145</v>
      </c>
      <c r="D36" t="s">
        <v>146</v>
      </c>
    </row>
    <row r="37" spans="1:4" x14ac:dyDescent="0.25">
      <c r="A37" t="s">
        <v>147</v>
      </c>
      <c r="B37">
        <v>2000</v>
      </c>
      <c r="C37" t="s">
        <v>148</v>
      </c>
      <c r="D37" t="s">
        <v>149</v>
      </c>
    </row>
    <row r="38" spans="1:4" x14ac:dyDescent="0.25">
      <c r="A38" t="s">
        <v>150</v>
      </c>
      <c r="B38">
        <v>3000</v>
      </c>
      <c r="C38" t="s">
        <v>148</v>
      </c>
      <c r="D38" t="s">
        <v>151</v>
      </c>
    </row>
    <row r="39" spans="1:4" x14ac:dyDescent="0.25">
      <c r="A39" t="s">
        <v>152</v>
      </c>
      <c r="B39">
        <f>(B35*B36)+B37+B38</f>
        <v>35000</v>
      </c>
      <c r="C39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zoomScaleNormal="100" workbookViewId="0"/>
  </sheetViews>
  <sheetFormatPr defaultColWidth="8.7109375" defaultRowHeight="15" x14ac:dyDescent="0.25"/>
  <cols>
    <col min="1" max="1" width="40" customWidth="1"/>
    <col min="2" max="7" width="15" customWidth="1"/>
  </cols>
  <sheetData>
    <row r="1" spans="1:8" ht="18" x14ac:dyDescent="0.25">
      <c r="A1" s="5" t="s">
        <v>60</v>
      </c>
    </row>
    <row r="3" spans="1:8" x14ac:dyDescent="0.25">
      <c r="A3" s="2" t="s">
        <v>61</v>
      </c>
    </row>
    <row r="4" spans="1:8" x14ac:dyDescent="0.25">
      <c r="A4" t="s">
        <v>62</v>
      </c>
      <c r="B4">
        <f>Inputs!B12</f>
        <v>144</v>
      </c>
    </row>
    <row r="5" spans="1:8" x14ac:dyDescent="0.25">
      <c r="A5" t="s">
        <v>63</v>
      </c>
      <c r="B5" s="6">
        <f>IF(Inputs!B17="VCF",Inputs!B16,Inputs!B15)</f>
        <v>190</v>
      </c>
    </row>
    <row r="6" spans="1:8" x14ac:dyDescent="0.25">
      <c r="A6" t="s">
        <v>64</v>
      </c>
      <c r="B6" s="6">
        <f>B4*B5</f>
        <v>27360</v>
      </c>
    </row>
    <row r="8" spans="1:8" x14ac:dyDescent="0.25">
      <c r="A8" s="2" t="s">
        <v>65</v>
      </c>
    </row>
    <row r="9" spans="1:8" x14ac:dyDescent="0.25">
      <c r="A9" t="s">
        <v>66</v>
      </c>
      <c r="B9" s="6">
        <f>'Hyper-V TCO'!B7</f>
        <v>60979</v>
      </c>
    </row>
    <row r="10" spans="1:8" x14ac:dyDescent="0.25">
      <c r="A10" t="s">
        <v>67</v>
      </c>
      <c r="B10" s="6">
        <f>B9*Inputs!B27</f>
        <v>12195.800000000001</v>
      </c>
    </row>
    <row r="11" spans="1:8" x14ac:dyDescent="0.25">
      <c r="A11" t="s">
        <v>68</v>
      </c>
      <c r="B11" s="6">
        <f>IF(Inputs!B31="User",Inputs!B7*Inputs!B29,Inputs!B7*Inputs!B30)</f>
        <v>3450</v>
      </c>
    </row>
    <row r="12" spans="1:8" x14ac:dyDescent="0.25">
      <c r="A12" t="s">
        <v>138</v>
      </c>
      <c r="B12" s="6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139</v>
      </c>
    </row>
    <row r="14" spans="1:8" x14ac:dyDescent="0.25">
      <c r="A14" s="2" t="s">
        <v>69</v>
      </c>
    </row>
    <row r="15" spans="1:8" ht="15.75" x14ac:dyDescent="0.25">
      <c r="A15" s="7" t="s">
        <v>70</v>
      </c>
      <c r="B15" s="7" t="s">
        <v>71</v>
      </c>
      <c r="C15" s="7" t="s">
        <v>72</v>
      </c>
      <c r="D15" s="7" t="s">
        <v>73</v>
      </c>
      <c r="E15" s="7" t="s">
        <v>74</v>
      </c>
      <c r="F15" s="7" t="s">
        <v>75</v>
      </c>
      <c r="G15" s="7" t="s">
        <v>76</v>
      </c>
    </row>
    <row r="16" spans="1:8" x14ac:dyDescent="0.25">
      <c r="A16" t="s">
        <v>77</v>
      </c>
      <c r="B16" s="6">
        <f>B6</f>
        <v>27360</v>
      </c>
      <c r="C16" s="6">
        <f>B6</f>
        <v>27360</v>
      </c>
      <c r="D16" s="6">
        <f>B6</f>
        <v>27360</v>
      </c>
      <c r="E16" s="6">
        <f>B6</f>
        <v>27360</v>
      </c>
      <c r="F16" s="6">
        <f>B6</f>
        <v>27360</v>
      </c>
      <c r="G16" s="6">
        <f>SUM(B16:F16)</f>
        <v>136800</v>
      </c>
    </row>
    <row r="17" spans="1:7" x14ac:dyDescent="0.25">
      <c r="A17" t="s">
        <v>78</v>
      </c>
      <c r="B17" s="6">
        <f>B9</f>
        <v>60979</v>
      </c>
      <c r="C17">
        <v>0</v>
      </c>
      <c r="D17">
        <v>0</v>
      </c>
      <c r="E17">
        <v>0</v>
      </c>
      <c r="F17">
        <v>0</v>
      </c>
      <c r="G17" s="6">
        <f>SUM(B17:F17)</f>
        <v>60979</v>
      </c>
    </row>
    <row r="18" spans="1:7" x14ac:dyDescent="0.25">
      <c r="A18" t="s">
        <v>79</v>
      </c>
      <c r="B18" s="6">
        <f>B10</f>
        <v>12195.800000000001</v>
      </c>
      <c r="C18" s="6">
        <f>B10</f>
        <v>12195.800000000001</v>
      </c>
      <c r="D18" s="6">
        <f>B10</f>
        <v>12195.800000000001</v>
      </c>
      <c r="E18" s="6">
        <f>B10</f>
        <v>12195.800000000001</v>
      </c>
      <c r="F18" s="6">
        <f>B10</f>
        <v>12195.800000000001</v>
      </c>
      <c r="G18" s="6">
        <f>SUM(B18:F18)</f>
        <v>60979.000000000007</v>
      </c>
    </row>
    <row r="19" spans="1:7" x14ac:dyDescent="0.25">
      <c r="A19" t="s">
        <v>80</v>
      </c>
      <c r="B19" s="6">
        <f>B11</f>
        <v>3450</v>
      </c>
      <c r="C19">
        <v>0</v>
      </c>
      <c r="D19">
        <v>0</v>
      </c>
      <c r="E19">
        <v>0</v>
      </c>
      <c r="F19">
        <v>0</v>
      </c>
      <c r="G19" s="6">
        <f>SUM(B19:F19)</f>
        <v>3450</v>
      </c>
    </row>
    <row r="20" spans="1:7" x14ac:dyDescent="0.25">
      <c r="A20" s="8" t="s">
        <v>81</v>
      </c>
      <c r="B20" s="9">
        <f t="shared" ref="B20:G20" si="0">SUM(B16:B19)</f>
        <v>103984.8</v>
      </c>
      <c r="C20" s="9">
        <f t="shared" si="0"/>
        <v>39555.800000000003</v>
      </c>
      <c r="D20" s="9">
        <f t="shared" si="0"/>
        <v>39555.800000000003</v>
      </c>
      <c r="E20" s="9">
        <f t="shared" si="0"/>
        <v>39555.800000000003</v>
      </c>
      <c r="F20" s="9">
        <f t="shared" si="0"/>
        <v>39555.800000000003</v>
      </c>
      <c r="G20" s="10">
        <f t="shared" si="0"/>
        <v>262208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Normal="100" workbookViewId="0"/>
  </sheetViews>
  <sheetFormatPr defaultColWidth="8.7109375" defaultRowHeight="15" x14ac:dyDescent="0.25"/>
  <cols>
    <col min="1" max="1" width="40" customWidth="1"/>
    <col min="2" max="7" width="15" customWidth="1"/>
  </cols>
  <sheetData>
    <row r="1" spans="1:7" ht="18" x14ac:dyDescent="0.25">
      <c r="A1" s="5" t="s">
        <v>82</v>
      </c>
    </row>
    <row r="3" spans="1:7" x14ac:dyDescent="0.25">
      <c r="A3" s="2" t="s">
        <v>61</v>
      </c>
    </row>
    <row r="4" spans="1:7" x14ac:dyDescent="0.25">
      <c r="A4" t="s">
        <v>83</v>
      </c>
      <c r="B4">
        <f>Inputs!B11</f>
        <v>144</v>
      </c>
    </row>
    <row r="5" spans="1:7" x14ac:dyDescent="0.25">
      <c r="A5" t="s">
        <v>84</v>
      </c>
      <c r="B5" s="6">
        <f>B4*Inputs!B20*12</f>
        <v>17280</v>
      </c>
    </row>
    <row r="6" spans="1:7" x14ac:dyDescent="0.25">
      <c r="A6" t="s">
        <v>85</v>
      </c>
      <c r="B6" s="6">
        <f>B4*Inputs!B21*12</f>
        <v>39744</v>
      </c>
    </row>
    <row r="7" spans="1:7" x14ac:dyDescent="0.25">
      <c r="A7" t="s">
        <v>86</v>
      </c>
      <c r="B7" t="str">
        <f>Inputs!B22</f>
        <v>No</v>
      </c>
    </row>
    <row r="9" spans="1:7" x14ac:dyDescent="0.25">
      <c r="A9" s="2" t="s">
        <v>87</v>
      </c>
    </row>
    <row r="10" spans="1:7" ht="15.75" x14ac:dyDescent="0.25">
      <c r="A10" s="7" t="s">
        <v>70</v>
      </c>
      <c r="B10" s="7" t="s">
        <v>71</v>
      </c>
      <c r="C10" s="7" t="s">
        <v>72</v>
      </c>
      <c r="D10" s="7" t="s">
        <v>73</v>
      </c>
      <c r="E10" s="7" t="s">
        <v>74</v>
      </c>
      <c r="F10" s="7" t="s">
        <v>75</v>
      </c>
      <c r="G10" s="7" t="s">
        <v>76</v>
      </c>
    </row>
    <row r="11" spans="1:7" x14ac:dyDescent="0.25">
      <c r="A11" t="s">
        <v>88</v>
      </c>
      <c r="B11" s="6">
        <f>$B$5</f>
        <v>17280</v>
      </c>
      <c r="C11" s="6">
        <f>$B$5</f>
        <v>17280</v>
      </c>
      <c r="D11" s="6">
        <f>$B$5</f>
        <v>17280</v>
      </c>
      <c r="E11" s="6">
        <f>$B$5</f>
        <v>17280</v>
      </c>
      <c r="F11" s="6">
        <f>$B$5</f>
        <v>17280</v>
      </c>
      <c r="G11" s="6">
        <f>SUM(B11:F11)</f>
        <v>86400</v>
      </c>
    </row>
    <row r="12" spans="1:7" x14ac:dyDescent="0.25">
      <c r="A12" t="s">
        <v>89</v>
      </c>
      <c r="B12" s="6">
        <f>$B$6</f>
        <v>39744</v>
      </c>
      <c r="C12" s="6">
        <f>$B$6</f>
        <v>39744</v>
      </c>
      <c r="D12" s="6">
        <f>$B$6</f>
        <v>39744</v>
      </c>
      <c r="E12" s="6">
        <f>$B$6</f>
        <v>39744</v>
      </c>
      <c r="F12" s="6">
        <f>$B$6</f>
        <v>39744</v>
      </c>
      <c r="G12" s="6">
        <f>SUM(B12:F12)</f>
        <v>198720</v>
      </c>
    </row>
    <row r="13" spans="1:7" x14ac:dyDescent="0.25">
      <c r="A13" s="8" t="s">
        <v>90</v>
      </c>
      <c r="B13" s="9">
        <f t="shared" ref="B13:G13" si="0">SUM(B11:B12)</f>
        <v>57024</v>
      </c>
      <c r="C13" s="9">
        <f t="shared" si="0"/>
        <v>57024</v>
      </c>
      <c r="D13" s="9">
        <f t="shared" si="0"/>
        <v>57024</v>
      </c>
      <c r="E13" s="9">
        <f t="shared" si="0"/>
        <v>57024</v>
      </c>
      <c r="F13" s="9">
        <f t="shared" si="0"/>
        <v>57024</v>
      </c>
      <c r="G13" s="10">
        <f t="shared" si="0"/>
        <v>285120</v>
      </c>
    </row>
    <row r="15" spans="1:7" x14ac:dyDescent="0.25">
      <c r="A15" s="2" t="s">
        <v>91</v>
      </c>
    </row>
    <row r="16" spans="1:7" x14ac:dyDescent="0.25">
      <c r="A16" t="s">
        <v>92</v>
      </c>
    </row>
    <row r="17" spans="1:7" ht="15.75" x14ac:dyDescent="0.25">
      <c r="A17" s="7" t="s">
        <v>70</v>
      </c>
      <c r="B17" s="7" t="s">
        <v>71</v>
      </c>
      <c r="C17" s="7" t="s">
        <v>72</v>
      </c>
      <c r="D17" s="7" t="s">
        <v>73</v>
      </c>
      <c r="E17" s="7" t="s">
        <v>74</v>
      </c>
      <c r="F17" s="7" t="s">
        <v>75</v>
      </c>
      <c r="G17" s="7" t="s">
        <v>76</v>
      </c>
    </row>
    <row r="18" spans="1:7" x14ac:dyDescent="0.25">
      <c r="A18" t="s">
        <v>93</v>
      </c>
      <c r="B18" s="6">
        <f>'Hyper-V TCO'!B7*Inputs!B27</f>
        <v>12195.800000000001</v>
      </c>
      <c r="C18" s="6">
        <f>'Hyper-V TCO'!B7*Inputs!B27</f>
        <v>12195.800000000001</v>
      </c>
      <c r="D18" s="6">
        <f>'Hyper-V TCO'!B7*Inputs!B27</f>
        <v>12195.800000000001</v>
      </c>
      <c r="E18" s="6">
        <f>'Hyper-V TCO'!B7*Inputs!B27</f>
        <v>12195.800000000001</v>
      </c>
      <c r="F18" s="6">
        <f>'Hyper-V TCO'!B7*Inputs!B27</f>
        <v>12195.800000000001</v>
      </c>
      <c r="G18" s="6">
        <f>SUM(B18:F18)</f>
        <v>60979.000000000007</v>
      </c>
    </row>
    <row r="19" spans="1:7" x14ac:dyDescent="0.25">
      <c r="A19" s="8" t="s">
        <v>94</v>
      </c>
      <c r="B19" s="9">
        <f t="shared" ref="B19:G19" si="1">B18</f>
        <v>12195.800000000001</v>
      </c>
      <c r="C19" s="9">
        <f t="shared" si="1"/>
        <v>12195.800000000001</v>
      </c>
      <c r="D19" s="9">
        <f t="shared" si="1"/>
        <v>12195.800000000001</v>
      </c>
      <c r="E19" s="9">
        <f t="shared" si="1"/>
        <v>12195.800000000001</v>
      </c>
      <c r="F19" s="9">
        <f t="shared" si="1"/>
        <v>12195.800000000001</v>
      </c>
      <c r="G19" s="10">
        <f t="shared" si="1"/>
        <v>60979.000000000007</v>
      </c>
    </row>
    <row r="21" spans="1:7" ht="15.75" x14ac:dyDescent="0.25">
      <c r="A21" s="11" t="s">
        <v>95</v>
      </c>
      <c r="B21" s="12">
        <f>IF(B7="Yes",G19,G13)</f>
        <v>285120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zoomScaleNormal="100" workbookViewId="0"/>
  </sheetViews>
  <sheetFormatPr defaultColWidth="8.7109375" defaultRowHeight="15" x14ac:dyDescent="0.25"/>
  <cols>
    <col min="1" max="1" width="40" customWidth="1"/>
    <col min="2" max="7" width="15" customWidth="1"/>
  </cols>
  <sheetData>
    <row r="1" spans="1:8" ht="18" x14ac:dyDescent="0.25">
      <c r="A1" s="5" t="s">
        <v>96</v>
      </c>
    </row>
    <row r="3" spans="1:8" x14ac:dyDescent="0.25">
      <c r="A3" s="2" t="s">
        <v>97</v>
      </c>
    </row>
    <row r="4" spans="1:8" x14ac:dyDescent="0.25">
      <c r="A4" t="s">
        <v>83</v>
      </c>
      <c r="B4">
        <f>Inputs!B11</f>
        <v>144</v>
      </c>
    </row>
    <row r="5" spans="1:8" x14ac:dyDescent="0.25">
      <c r="A5" t="s">
        <v>98</v>
      </c>
      <c r="B5">
        <f>CEILING(B4/16,1)</f>
        <v>9</v>
      </c>
    </row>
    <row r="6" spans="1:8" x14ac:dyDescent="0.25">
      <c r="A6" t="s">
        <v>99</v>
      </c>
      <c r="B6">
        <f>MAX(0,CEILING((B4-16)/2,1)-0)</f>
        <v>64</v>
      </c>
    </row>
    <row r="7" spans="1:8" x14ac:dyDescent="0.25">
      <c r="A7" t="s">
        <v>100</v>
      </c>
      <c r="B7" s="6">
        <f>IF(B4&lt;=16,Inputs!B25,Inputs!B25+B6*Inputs!B26)</f>
        <v>60979</v>
      </c>
    </row>
    <row r="8" spans="1:8" x14ac:dyDescent="0.25">
      <c r="A8" t="s">
        <v>101</v>
      </c>
      <c r="B8" s="6">
        <f>B7*(1-Inputs!B32)</f>
        <v>51832.15</v>
      </c>
    </row>
    <row r="9" spans="1:8" x14ac:dyDescent="0.25">
      <c r="A9" t="s">
        <v>102</v>
      </c>
      <c r="B9" s="6">
        <f>B8*Inputs!B27</f>
        <v>10366.43</v>
      </c>
    </row>
    <row r="10" spans="1:8" x14ac:dyDescent="0.25">
      <c r="A10" t="s">
        <v>68</v>
      </c>
      <c r="B10" s="6">
        <f>IF(Inputs!B31="User",Inputs!B7*Inputs!B29,Inputs!B7*Inputs!B30)</f>
        <v>3450</v>
      </c>
    </row>
    <row r="11" spans="1:8" x14ac:dyDescent="0.25">
      <c r="A11" t="s">
        <v>136</v>
      </c>
      <c r="B11" s="6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137</v>
      </c>
    </row>
    <row r="13" spans="1:8" x14ac:dyDescent="0.25">
      <c r="A13" s="2" t="s">
        <v>103</v>
      </c>
    </row>
    <row r="14" spans="1:8" ht="15.75" x14ac:dyDescent="0.25">
      <c r="A14" s="7" t="s">
        <v>70</v>
      </c>
      <c r="B14" s="7" t="s">
        <v>71</v>
      </c>
      <c r="C14" s="7" t="s">
        <v>72</v>
      </c>
      <c r="D14" s="7" t="s">
        <v>73</v>
      </c>
      <c r="E14" s="7" t="s">
        <v>74</v>
      </c>
      <c r="F14" s="7" t="s">
        <v>75</v>
      </c>
      <c r="G14" s="7" t="s">
        <v>76</v>
      </c>
    </row>
    <row r="15" spans="1:8" x14ac:dyDescent="0.25">
      <c r="A15" t="s">
        <v>78</v>
      </c>
      <c r="B15" s="6">
        <f>$B$8</f>
        <v>51832.15</v>
      </c>
      <c r="C15">
        <v>0</v>
      </c>
      <c r="D15">
        <v>0</v>
      </c>
      <c r="E15">
        <v>0</v>
      </c>
      <c r="F15">
        <v>0</v>
      </c>
      <c r="G15" s="6">
        <f>SUM(B15:F15)</f>
        <v>51832.15</v>
      </c>
    </row>
    <row r="16" spans="1:8" x14ac:dyDescent="0.25">
      <c r="A16" t="s">
        <v>104</v>
      </c>
      <c r="B16" s="6">
        <f>$B$9</f>
        <v>10366.43</v>
      </c>
      <c r="C16" s="6">
        <f>$B$9</f>
        <v>10366.43</v>
      </c>
      <c r="D16" s="6">
        <f>$B$9</f>
        <v>10366.43</v>
      </c>
      <c r="E16" s="6">
        <f>$B$9</f>
        <v>10366.43</v>
      </c>
      <c r="F16" s="6">
        <f>$B$9</f>
        <v>10366.43</v>
      </c>
      <c r="G16" s="6">
        <f>SUM(B16:F16)</f>
        <v>51832.15</v>
      </c>
    </row>
    <row r="17" spans="1:7" x14ac:dyDescent="0.25">
      <c r="A17" t="s">
        <v>80</v>
      </c>
      <c r="B17" s="6">
        <f>$B$10</f>
        <v>3450</v>
      </c>
      <c r="C17">
        <v>0</v>
      </c>
      <c r="D17">
        <v>0</v>
      </c>
      <c r="E17">
        <v>0</v>
      </c>
      <c r="F17">
        <v>0</v>
      </c>
      <c r="G17" s="6">
        <f>SUM(B17:F17)</f>
        <v>3450</v>
      </c>
    </row>
    <row r="18" spans="1:7" x14ac:dyDescent="0.25">
      <c r="A18" s="8" t="s">
        <v>105</v>
      </c>
      <c r="B18" s="9">
        <f t="shared" ref="B18:G18" si="0">SUM(B15:B17)</f>
        <v>65648.58</v>
      </c>
      <c r="C18" s="9">
        <f t="shared" si="0"/>
        <v>10366.43</v>
      </c>
      <c r="D18" s="9">
        <f t="shared" si="0"/>
        <v>10366.43</v>
      </c>
      <c r="E18" s="9">
        <f t="shared" si="0"/>
        <v>10366.43</v>
      </c>
      <c r="F18" s="9">
        <f t="shared" si="0"/>
        <v>10366.43</v>
      </c>
      <c r="G18" s="10">
        <f t="shared" si="0"/>
        <v>107114.3</v>
      </c>
    </row>
    <row r="20" spans="1:7" x14ac:dyDescent="0.25">
      <c r="A20" s="2" t="s">
        <v>106</v>
      </c>
    </row>
    <row r="21" spans="1:7" ht="15.75" x14ac:dyDescent="0.25">
      <c r="A21" s="7" t="s">
        <v>70</v>
      </c>
      <c r="B21" s="7" t="s">
        <v>71</v>
      </c>
      <c r="C21" s="7" t="s">
        <v>72</v>
      </c>
      <c r="D21" s="7" t="s">
        <v>73</v>
      </c>
      <c r="E21" s="7" t="s">
        <v>74</v>
      </c>
      <c r="F21" s="7" t="s">
        <v>75</v>
      </c>
      <c r="G21" s="7" t="s">
        <v>76</v>
      </c>
    </row>
    <row r="22" spans="1:7" x14ac:dyDescent="0.25">
      <c r="A22" t="s">
        <v>78</v>
      </c>
      <c r="B22" s="6">
        <f>$B$8</f>
        <v>51832.15</v>
      </c>
      <c r="C22">
        <v>0</v>
      </c>
      <c r="D22">
        <v>0</v>
      </c>
      <c r="E22">
        <v>0</v>
      </c>
      <c r="F22">
        <v>0</v>
      </c>
      <c r="G22" s="6">
        <f>SUM(B22:F22)</f>
        <v>51832.15</v>
      </c>
    </row>
    <row r="23" spans="1:7" x14ac:dyDescent="0.25">
      <c r="A23" t="s">
        <v>80</v>
      </c>
      <c r="B23" s="6">
        <f>$B$10</f>
        <v>3450</v>
      </c>
      <c r="C23">
        <v>0</v>
      </c>
      <c r="D23">
        <v>0</v>
      </c>
      <c r="E23">
        <v>0</v>
      </c>
      <c r="F23">
        <v>0</v>
      </c>
      <c r="G23" s="6">
        <f>SUM(B23:F23)</f>
        <v>3450</v>
      </c>
    </row>
    <row r="24" spans="1:7" x14ac:dyDescent="0.25">
      <c r="A24" s="8" t="s">
        <v>107</v>
      </c>
      <c r="B24" s="9">
        <f t="shared" ref="B24:G24" si="1">SUM(B22:B23)</f>
        <v>55282.15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10">
        <f t="shared" si="1"/>
        <v>55282.15</v>
      </c>
    </row>
    <row r="26" spans="1:7" ht="15.75" x14ac:dyDescent="0.25">
      <c r="A26" s="11" t="s">
        <v>108</v>
      </c>
      <c r="B26" s="12">
        <f>IF(Inputs!B28="Yes",G18,G24)</f>
        <v>107114.3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zoomScaleNormal="100" workbookViewId="0"/>
  </sheetViews>
  <sheetFormatPr defaultColWidth="8.7109375" defaultRowHeight="15" x14ac:dyDescent="0.25"/>
  <cols>
    <col min="1" max="1" width="35" customWidth="1"/>
    <col min="2" max="4" width="18" customWidth="1"/>
    <col min="5" max="5" width="30" customWidth="1"/>
  </cols>
  <sheetData>
    <row r="1" spans="1:5" ht="20.25" x14ac:dyDescent="0.3">
      <c r="A1" s="1" t="s">
        <v>109</v>
      </c>
    </row>
    <row r="3" spans="1:5" x14ac:dyDescent="0.25">
      <c r="A3" s="2" t="s">
        <v>110</v>
      </c>
    </row>
    <row r="4" spans="1:5" x14ac:dyDescent="0.25">
      <c r="A4" t="s">
        <v>111</v>
      </c>
      <c r="B4">
        <f>Inputs!B2</f>
        <v>3</v>
      </c>
    </row>
    <row r="5" spans="1:5" x14ac:dyDescent="0.25">
      <c r="A5" t="s">
        <v>83</v>
      </c>
      <c r="B5">
        <f>Inputs!B11</f>
        <v>144</v>
      </c>
    </row>
    <row r="6" spans="1:5" x14ac:dyDescent="0.25">
      <c r="A6" t="s">
        <v>22</v>
      </c>
      <c r="B6">
        <f>Inputs!B5</f>
        <v>50</v>
      </c>
    </row>
    <row r="7" spans="1:5" x14ac:dyDescent="0.25">
      <c r="A7" t="s">
        <v>112</v>
      </c>
      <c r="B7">
        <f>Inputs!B7</f>
        <v>75</v>
      </c>
    </row>
    <row r="8" spans="1:5" x14ac:dyDescent="0.25">
      <c r="A8" t="s">
        <v>27</v>
      </c>
      <c r="B8" t="str">
        <f>Inputs!B8&amp;" years"</f>
        <v>5 years</v>
      </c>
    </row>
    <row r="10" spans="1:5" x14ac:dyDescent="0.25">
      <c r="A10" s="2" t="s">
        <v>113</v>
      </c>
    </row>
    <row r="11" spans="1:5" ht="15.75" x14ac:dyDescent="0.25">
      <c r="A11" s="7" t="s">
        <v>114</v>
      </c>
      <c r="B11" s="7" t="s">
        <v>69</v>
      </c>
      <c r="C11" s="7" t="s">
        <v>115</v>
      </c>
      <c r="D11" s="7" t="s">
        <v>116</v>
      </c>
      <c r="E11" s="7" t="s">
        <v>117</v>
      </c>
    </row>
    <row r="12" spans="1:5" x14ac:dyDescent="0.25">
      <c r="A12" t="s">
        <v>118</v>
      </c>
      <c r="B12" s="6">
        <f>'VMware TCO'!G20</f>
        <v>262208</v>
      </c>
      <c r="C12" s="6">
        <f>B12/Inputs!B8</f>
        <v>52441.599999999999</v>
      </c>
      <c r="D12" s="13">
        <f>(B12-B15)/B15</f>
        <v>1.4479271208419418</v>
      </c>
      <c r="E12" t="s">
        <v>119</v>
      </c>
    </row>
    <row r="13" spans="1:5" x14ac:dyDescent="0.25">
      <c r="A13" t="s">
        <v>120</v>
      </c>
      <c r="B13" s="6">
        <f>'Azure Local TCO'!G13</f>
        <v>285120</v>
      </c>
      <c r="C13" s="6">
        <f>B13/Inputs!B8</f>
        <v>57024</v>
      </c>
      <c r="D13" s="13">
        <f>(B13-B15)/B15</f>
        <v>1.6618294662804127</v>
      </c>
      <c r="E13" t="s">
        <v>121</v>
      </c>
    </row>
    <row r="14" spans="1:5" x14ac:dyDescent="0.25">
      <c r="A14" t="s">
        <v>122</v>
      </c>
      <c r="B14" s="6">
        <f>'Azure Local TCO'!G19</f>
        <v>60979.000000000007</v>
      </c>
      <c r="C14" s="6">
        <f>B14/Inputs!B8</f>
        <v>12195.800000000001</v>
      </c>
      <c r="D14" s="13">
        <f>(B14-B15)/B15</f>
        <v>-0.43071093215378331</v>
      </c>
      <c r="E14" t="s">
        <v>123</v>
      </c>
    </row>
    <row r="15" spans="1:5" x14ac:dyDescent="0.25">
      <c r="A15" s="8" t="s">
        <v>124</v>
      </c>
      <c r="B15" s="14">
        <f>'Hyper-V TCO'!G18</f>
        <v>107114.3</v>
      </c>
      <c r="C15" s="14">
        <f>B15/Inputs!B8</f>
        <v>21422.86</v>
      </c>
      <c r="D15" s="8" t="s">
        <v>125</v>
      </c>
      <c r="E15" t="s">
        <v>126</v>
      </c>
    </row>
    <row r="16" spans="1:5" x14ac:dyDescent="0.25">
      <c r="A16" t="s">
        <v>127</v>
      </c>
      <c r="B16" s="6">
        <f>'Hyper-V TCO'!G24</f>
        <v>55282.15</v>
      </c>
      <c r="C16" s="6">
        <f>B16/Inputs!B8</f>
        <v>11056.43</v>
      </c>
      <c r="D16" s="13">
        <f>(B16-B15)/B15</f>
        <v>-0.48389570766928414</v>
      </c>
      <c r="E16" t="s">
        <v>128</v>
      </c>
    </row>
    <row r="18" spans="1:3" x14ac:dyDescent="0.25">
      <c r="A18" s="2" t="s">
        <v>129</v>
      </c>
    </row>
    <row r="19" spans="1:3" x14ac:dyDescent="0.25">
      <c r="A19" t="s">
        <v>130</v>
      </c>
      <c r="B19" s="15">
        <f>B12-B15</f>
        <v>155093.70000000001</v>
      </c>
    </row>
    <row r="20" spans="1:3" x14ac:dyDescent="0.25">
      <c r="A20" t="s">
        <v>131</v>
      </c>
      <c r="B20" s="15">
        <f>B19/Inputs!B8</f>
        <v>31018.74</v>
      </c>
    </row>
    <row r="22" spans="1:3" x14ac:dyDescent="0.25">
      <c r="A22" s="2" t="s">
        <v>132</v>
      </c>
    </row>
    <row r="23" spans="1:3" x14ac:dyDescent="0.25">
      <c r="A23" t="s">
        <v>133</v>
      </c>
      <c r="B23" s="16">
        <f>Inputs!B39</f>
        <v>35000</v>
      </c>
      <c r="C23" t="s">
        <v>153</v>
      </c>
    </row>
    <row r="24" spans="1:3" x14ac:dyDescent="0.25">
      <c r="A24" t="s">
        <v>134</v>
      </c>
      <c r="B24">
        <f>IF(B20&gt;0,ROUND(B23/(B20/12),1),0)</f>
        <v>13.5</v>
      </c>
    </row>
    <row r="25" spans="1:3" ht="15.75" x14ac:dyDescent="0.25">
      <c r="A25" t="s">
        <v>135</v>
      </c>
      <c r="B25" s="17">
        <f>B19-B23</f>
        <v>120093.70000000001</v>
      </c>
    </row>
    <row r="27" spans="1:3" x14ac:dyDescent="0.25">
      <c r="A27" t="s">
        <v>154</v>
      </c>
    </row>
    <row r="28" spans="1:3" x14ac:dyDescent="0.25">
      <c r="A28" t="s">
        <v>155</v>
      </c>
      <c r="B28" t="s">
        <v>156</v>
      </c>
    </row>
    <row r="29" spans="1:3" x14ac:dyDescent="0.25">
      <c r="A29" t="s">
        <v>157</v>
      </c>
      <c r="B29" t="s">
        <v>158</v>
      </c>
    </row>
    <row r="30" spans="1:3" x14ac:dyDescent="0.25">
      <c r="A30" t="s">
        <v>159</v>
      </c>
      <c r="B30" t="s"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Inputs</vt:lpstr>
      <vt:lpstr>VMware TCO</vt:lpstr>
      <vt:lpstr>Azure Local TCO</vt:lpstr>
      <vt:lpstr>Hyper-V TCO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Kristopher Turner</cp:lastModifiedBy>
  <cp:revision>0</cp:revision>
  <dcterms:created xsi:type="dcterms:W3CDTF">2026-02-06T13:33:56Z</dcterms:created>
  <dcterms:modified xsi:type="dcterms:W3CDTF">2026-04-04T18:41:40Z</dcterms:modified>
  <dc:language>en-US</dc:language>
</cp:coreProperties>
</file>